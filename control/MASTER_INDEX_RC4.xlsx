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7586322f0348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3040ba6cbff4662"/>
    <x:sheet xmlns:r="http://schemas.openxmlformats.org/officeDocument/2006/relationships" name="Modules" sheetId="2" r:id="Rb7d8b7f794264b38"/>
    <x:sheet xmlns:r="http://schemas.openxmlformats.org/officeDocument/2006/relationships" name="Gates" sheetId="3" r:id="R32cc280562a64f15"/>
    <x:sheet xmlns:r="http://schemas.openxmlformats.org/officeDocument/2006/relationships" name="Special" sheetId="4" r:id="Re46f5afb31b64a40"/>
    <x:sheet xmlns:r="http://schemas.openxmlformats.org/officeDocument/2006/relationships" name="Blockers &amp; Runtime" sheetId="5" r:id="R0ed666ab472444bb"/>
    <x:sheet xmlns:r="http://schemas.openxmlformats.org/officeDocument/2006/relationships" name="Provenance" sheetId="6" r:id="R7abf0fdb98ca46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2">
    <x:font>
      <x:sz val="11"/>
      <x:name val="Carlito"/>
    </x:font>
    <x:font>
      <x:b/>
      <x:sz val="9"/>
      <x:color rgb="FFFFFFFF"/>
      <x:name val="Carlito"/>
    </x:font>
    <x:font>
      <x:sz val="9"/>
      <x:color rgb="FF1F2933"/>
      <x:name val="Carlito"/>
    </x:font>
    <x:font>
      <x:b/>
      <x:sz val="9"/>
      <x:color rgb="FF17324D"/>
      <x:name val="Carlito"/>
    </x:font>
    <x:font>
      <x:b/>
      <x:sz val="9"/>
      <x:color rgb="FF176B3A"/>
      <x:name val="Carlito"/>
    </x:font>
    <x:font>
      <x:b/>
      <x:sz val="9"/>
      <x:color rgb="FF9B1C1C"/>
      <x:name val="Carlito"/>
    </x:font>
    <x:font>
      <x:b/>
      <x:sz val="16"/>
      <x:color rgb="FFFFFFFF"/>
      <x:name val="Carlito"/>
    </x:font>
    <x:font>
      <x:b/>
      <x:sz val="10"/>
      <x:color rgb="FF17324D"/>
      <x:name val="Carlito"/>
    </x:font>
    <x:font>
      <x:b/>
      <x:sz val="11"/>
      <x:color rgb="FFFFFFFF"/>
      <x:name val="Carlito"/>
    </x:font>
    <x:font>
      <x:b/>
      <x:sz val="9"/>
      <x:color rgb="FF1F2933"/>
      <x:name val="Carlito"/>
    </x:font>
    <x:font>
      <x:b/>
      <x:sz val="10"/>
      <x:color rgb="FF9B1C1C"/>
      <x:name val="Carlito"/>
    </x:font>
    <x:font>
      <x:b/>
      <x:sz val="10"/>
      <x:color rgb="FF8A5A00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DDF3E4"/>
      </x:patternFill>
    </x:fill>
    <x:fill>
      <x:patternFill patternType="solid">
        <x:fgColor rgb="FFFDE2E1"/>
      </x:patternFill>
    </x:fill>
    <x:fill>
      <x:patternFill patternType="solid">
        <x:fgColor rgb="FFE8F0F7"/>
      </x:patternFill>
    </x:fill>
    <x:fill>
      <x:patternFill patternType="solid">
        <x:fgColor rgb="FF1F6F78"/>
      </x:patternFill>
    </x:fill>
    <x:fill>
      <x:patternFill patternType="solid">
        <x:fgColor rgb="FFFFF0CC"/>
      </x:patternFill>
    </x:fill>
  </x:fills>
  <x:borders count="18">
    <x:border/>
    <x:border/>
    <x:border>
      <x:left style="thin">
        <x:color rgb="FFD7DEE5"/>
      </x:left>
      <x:top style="thin">
        <x:color rgb="FFD7DEE5"/>
      </x:top>
    </x:border>
    <x:border>
      <x:top style="thin">
        <x:color rgb="FFD7DEE5"/>
      </x:top>
    </x:border>
    <x:border>
      <x:right style="thin">
        <x:color rgb="FFD7DEE5"/>
      </x:right>
      <x:top style="thin">
        <x:color rgb="FFD7DEE5"/>
      </x:top>
    </x:border>
    <x:border>
      <x:left style="thin">
        <x:color rgb="FFD7DEE5"/>
      </x:left>
    </x:border>
    <x:border>
      <x:right style="thin">
        <x:color rgb="FFD7DEE5"/>
      </x:right>
    </x:border>
    <x:border>
      <x:left style="thin">
        <x:color rgb="FFD7DEE5"/>
      </x:left>
      <x:bottom style="thin">
        <x:color rgb="FFD7DEE5"/>
      </x:bottom>
    </x:border>
    <x:border>
      <x:bottom style="thin">
        <x:color rgb="FFD7DEE5"/>
      </x:bottom>
    </x:border>
    <x:border>
      <x:right style="thin">
        <x:color rgb="FFD7DEE5"/>
      </x:right>
      <x:bottom style="thin">
        <x:color rgb="FFD7DEE5"/>
      </x:bottom>
    </x:border>
    <x:border>
      <x:left style="thin">
        <x:color rgb="FFD7DEE5"/>
      </x:left>
      <x:top style="thin">
        <x:color rgb="FFD7DEE5"/>
      </x:top>
    </x:border>
    <x:border>
      <x:top style="thin">
        <x:color rgb="FFD7DEE5"/>
      </x:top>
    </x:border>
    <x:border>
      <x:right style="thin">
        <x:color rgb="FFD7DEE5"/>
      </x:right>
      <x:top style="thin">
        <x:color rgb="FFD7DEE5"/>
      </x:top>
    </x:border>
    <x:border>
      <x:left style="thin">
        <x:color rgb="FFD7DEE5"/>
      </x:left>
    </x:border>
    <x:border>
      <x:right style="thin">
        <x:color rgb="FFD7DEE5"/>
      </x:right>
    </x:border>
    <x:border>
      <x:left style="thin">
        <x:color rgb="FFD7DEE5"/>
      </x:left>
      <x:bottom style="thin">
        <x:color rgb="FFD7DEE5"/>
      </x:bottom>
    </x:border>
    <x:border>
      <x:bottom style="thin">
        <x:color rgb="FFD7DEE5"/>
      </x:bottom>
    </x:border>
    <x:border>
      <x:right style="thin">
        <x:color rgb="FFD7DEE5"/>
      </x:right>
      <x:bottom style="thin">
        <x:color rgb="FFD7DEE5"/>
      </x:bottom>
    </x:border>
  </x:borders>
  <x:cellStyleXfs count="1">
    <x:xf numFmtId="0" fontId="0" fillId="0" borderId="0"/>
  </x:cellStyleXfs>
  <x:cellXfs count="13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horizontal="center" vertical="top" wrapText="1"/>
    </x:xf>
    <x:xf numFmtId="0" fontId="2" fillId="0" borderId="1" xfId="0" applyNumberFormat="1" applyFont="1" applyFill="1" applyBorder="1" applyAlignment="1">
      <x:alignment horizontal="center" vertical="top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3" fillId="0" borderId="5" xfId="0" applyNumberFormat="1" applyFont="1" applyFill="1" applyBorder="1" applyAlignment="1">
      <x:alignment vertical="top" wrapText="1"/>
    </x:xf>
    <x:xf numFmtId="0" fontId="2" fillId="0" borderId="6" xfId="0" applyNumberFormat="1" applyFont="1" applyFill="1" applyBorder="1" applyAlignment="1">
      <x:alignment horizontal="center" vertical="top" wrapText="1"/>
    </x:xf>
    <x:xf numFmtId="0" fontId="3" fillId="0" borderId="7" xfId="0" applyNumberFormat="1" applyFont="1" applyFill="1" applyBorder="1" applyAlignment="1">
      <x:alignment vertical="top" wrapText="1"/>
    </x:xf>
    <x:xf numFmtId="0" fontId="2" fillId="0" borderId="8" xfId="0" applyNumberFormat="1" applyFont="1" applyFill="1" applyBorder="1" applyAlignment="1">
      <x:alignment vertical="top" wrapText="1"/>
    </x:xf>
    <x:xf numFmtId="0" fontId="2" fillId="0" borderId="8" xfId="0" applyNumberFormat="1" applyFont="1" applyFill="1" applyBorder="1" applyAlignment="1">
      <x:alignment horizontal="center" vertical="top" wrapText="1"/>
    </x:xf>
    <x:xf numFmtId="0" fontId="2" fillId="0" borderId="9" xfId="0" applyNumberFormat="1" applyFont="1" applyFill="1" applyBorder="1" applyAlignment="1">
      <x:alignment horizontal="center" vertical="top" wrapText="1"/>
    </x:xf>
    <x:xf numFmtId="0" fontId="1" fillId="2" borderId="10" xfId="0" applyNumberFormat="1" applyFont="1" applyFill="1" applyBorder="1" applyAlignment="1">
      <x:alignment horizontal="center" vertical="center" wrapText="1"/>
    </x:xf>
    <x:xf numFmtId="0" fontId="1" fillId="2" borderId="11" xfId="0" applyNumberFormat="1" applyFont="1" applyFill="1" applyBorder="1" applyAlignment="1">
      <x:alignment horizontal="center" vertical="center" wrapText="1"/>
    </x:xf>
    <x:xf numFmtId="0" fontId="1" fillId="2" borderId="12" xfId="0" applyNumberFormat="1" applyFont="1" applyFill="1" applyBorder="1" applyAlignment="1">
      <x:alignment horizontal="center" vertical="center" wrapText="1"/>
    </x:xf>
    <x:xf numFmtId="0" fontId="3" fillId="0" borderId="13" xfId="0" applyNumberFormat="1" applyFont="1" applyFill="1" applyBorder="1" applyAlignment="1">
      <x:alignment vertical="top" wrapText="1"/>
    </x:xf>
    <x:xf numFmtId="0" fontId="2" fillId="0" borderId="14" xfId="0" applyNumberFormat="1" applyFont="1" applyFill="1" applyBorder="1" applyAlignment="1">
      <x:alignment horizontal="center" vertical="top" wrapText="1"/>
    </x:xf>
    <x:xf numFmtId="0" fontId="3" fillId="0" borderId="15" xfId="0" applyNumberFormat="1" applyFont="1" applyFill="1" applyBorder="1" applyAlignment="1">
      <x:alignment vertical="top" wrapText="1"/>
    </x:xf>
    <x:xf numFmtId="0" fontId="2" fillId="0" borderId="16" xfId="0" applyNumberFormat="1" applyFont="1" applyFill="1" applyBorder="1" applyAlignment="1">
      <x:alignment vertical="top" wrapText="1"/>
    </x:xf>
    <x:xf numFmtId="0" fontId="2" fillId="0" borderId="16" xfId="0" applyNumberFormat="1" applyFont="1" applyFill="1" applyBorder="1" applyAlignment="1">
      <x:alignment horizontal="center" vertical="top" wrapText="1"/>
    </x:xf>
    <x:xf numFmtId="0" fontId="2" fillId="0" borderId="17" xfId="0" applyNumberFormat="1" applyFont="1" applyFill="1" applyBorder="1" applyAlignment="1">
      <x:alignment horizontal="center"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4" fillId="3" borderId="1" xfId="0" applyNumberFormat="1" applyFont="1" applyFill="1" applyBorder="1" applyAlignment="1">
      <x:alignment vertical="top" wrapText="1"/>
    </x:xf>
    <x:xf numFmtId="0" fontId="2" fillId="4" borderId="0" xfId="0" applyNumberFormat="1" applyFont="1" applyFill="1" applyBorder="1" applyAlignment="1">
      <x:alignment vertical="top" wrapText="1"/>
    </x:xf>
    <x:xf numFmtId="0" fontId="5" fillId="4" borderId="0" xfId="0" applyNumberFormat="1" applyFont="1" applyFill="1" applyBorder="1" applyAlignment="1">
      <x:alignment vertical="top" wrapText="1"/>
    </x:xf>
    <x:xf numFmtId="0" fontId="2" fillId="4" borderId="1" xfId="0" applyNumberFormat="1" applyFont="1" applyFill="1" applyBorder="1" applyAlignment="1">
      <x:alignment vertical="top" wrapText="1"/>
    </x:xf>
    <x:xf numFmtId="0" fontId="5" fillId="4" borderId="1" xfId="0" applyNumberFormat="1" applyFont="1" applyFill="1" applyBorder="1" applyAlignment="1">
      <x:alignment vertical="top" wrapText="1"/>
    </x:xf>
    <x:xf numFmtId="0" fontId="2" fillId="0" borderId="6" xfId="0" applyNumberFormat="1" applyFont="1" applyFill="1" applyBorder="1" applyAlignment="1">
      <x:alignment vertical="top" wrapText="1"/>
    </x:xf>
    <x:xf numFmtId="0" fontId="5" fillId="4" borderId="8" xfId="0" applyNumberFormat="1" applyFont="1" applyFill="1" applyBorder="1" applyAlignment="1">
      <x:alignment vertical="top" wrapText="1"/>
    </x:xf>
    <x:xf numFmtId="0" fontId="2" fillId="0" borderId="9" xfId="0" applyNumberFormat="1" applyFont="1" applyFill="1" applyBorder="1" applyAlignment="1">
      <x:alignment vertical="top" wrapText="1"/>
    </x:xf>
    <x:xf numFmtId="0" fontId="2" fillId="0" borderId="14" xfId="0" applyNumberFormat="1" applyFont="1" applyFill="1" applyBorder="1" applyAlignment="1">
      <x:alignment vertical="top" wrapText="1"/>
    </x:xf>
    <x:xf numFmtId="0" fontId="5" fillId="4" borderId="16" xfId="0" applyNumberFormat="1" applyFont="1" applyFill="1" applyBorder="1" applyAlignment="1">
      <x:alignment vertical="top" wrapText="1"/>
    </x:xf>
    <x:xf numFmtId="0" fontId="2" fillId="0" borderId="17" xfId="0" applyNumberFormat="1" applyFont="1" applyFill="1" applyBorder="1" applyAlignment="1">
      <x:alignment vertical="top"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vertical="center"/>
    </x:xf>
    <x:xf numFmtId="0" fontId="6" fillId="2" borderId="1" xfId="0" applyNumberFormat="1" applyFont="1" applyFill="1" applyBorder="1"/>
    <x:xf numFmtId="0" fontId="6" fillId="2" borderId="1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0" xfId="0" applyNumberFormat="1" applyFont="1" applyFill="1" applyBorder="1" applyAlignment="1">
      <x:alignment vertical="center"/>
    </x:xf>
    <x:xf numFmtId="0" fontId="0" fillId="5" borderId="1" xfId="0" applyNumberFormat="1" applyFont="1" applyFill="1" applyBorder="1"/>
    <x:xf numFmtId="0" fontId="7" fillId="5" borderId="1" xfId="0" applyNumberFormat="1" applyFont="1" applyFill="1" applyBorder="1"/>
    <x:xf numFmtId="0" fontId="7" fillId="5" borderId="1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8" fillId="6" borderId="0" xfId="0" applyNumberFormat="1" applyFont="1" applyFill="1" applyBorder="1"/>
    <x:xf numFmtId="0" fontId="8" fillId="6" borderId="0" xfId="0" applyNumberFormat="1" applyFont="1" applyFill="1" applyBorder="1" applyAlignment="1">
      <x:alignment vertical="center"/>
    </x:xf>
    <x:xf numFmtId="0" fontId="0" fillId="6" borderId="1" xfId="0" applyNumberFormat="1" applyFont="1" applyFill="1" applyBorder="1"/>
    <x:xf numFmtId="0" fontId="8" fillId="6" borderId="1" xfId="0" applyNumberFormat="1" applyFont="1" applyFill="1" applyBorder="1"/>
    <x:xf numFmtId="0" fontId="8" fillId="6" borderId="1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vertical="top" wrapText="1"/>
    </x:xf>
    <x:xf numFmtId="0" fontId="9" fillId="0" borderId="1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horizontal="center" vertical="top" wrapText="1"/>
    </x:xf>
    <x:xf numFmtId="0" fontId="4" fillId="3" borderId="1" xfId="0" applyNumberFormat="1" applyFont="1" applyFill="1" applyBorder="1" applyAlignment="1">
      <x:alignment horizontal="center" vertical="top" wrapText="1"/>
    </x:xf>
    <x:xf numFmtId="0" fontId="0" fillId="4" borderId="0" xfId="0" applyNumberFormat="1" applyFont="1" applyFill="1" applyBorder="1"/>
    <x:xf numFmtId="0" fontId="10" fillId="4" borderId="0" xfId="0" applyNumberFormat="1" applyFont="1" applyFill="1" applyBorder="1"/>
    <x:xf numFmtId="0" fontId="10" fillId="4" borderId="0" xfId="0" applyNumberFormat="1" applyFont="1" applyFill="1" applyBorder="1" applyAlignment="1">
      <x:alignment wrapText="1"/>
    </x:xf>
    <x:xf numFmtId="0" fontId="10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10" fillId="4" borderId="1" xfId="0" applyNumberFormat="1" applyFont="1" applyFill="1" applyBorder="1"/>
    <x:xf numFmtId="0" fontId="10" fillId="4" borderId="1" xfId="0" applyNumberFormat="1" applyFont="1" applyFill="1" applyBorder="1" applyAlignment="1">
      <x:alignment wrapText="1"/>
    </x:xf>
    <x:xf numFmtId="0" fontId="10" fillId="4" borderId="1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11" fillId="7" borderId="0" xfId="0" applyNumberFormat="1" applyFont="1" applyFill="1" applyBorder="1"/>
    <x:xf numFmtId="0" fontId="11" fillId="7" borderId="0" xfId="0" applyNumberFormat="1" applyFont="1" applyFill="1" applyBorder="1" applyAlignment="1">
      <x:alignment wrapText="1"/>
    </x:xf>
    <x:xf numFmtId="0" fontId="11" fillId="7" borderId="0" xfId="0" applyNumberFormat="1" applyFont="1" applyFill="1" applyBorder="1" applyAlignment="1">
      <x:alignment vertical="center" wrapText="1"/>
    </x:xf>
    <x:xf numFmtId="0" fontId="0" fillId="7" borderId="1" xfId="0" applyNumberFormat="1" applyFont="1" applyFill="1" applyBorder="1"/>
    <x:xf numFmtId="0" fontId="11" fillId="7" borderId="1" xfId="0" applyNumberFormat="1" applyFont="1" applyFill="1" applyBorder="1"/>
    <x:xf numFmtId="0" fontId="11" fillId="7" borderId="1" xfId="0" applyNumberFormat="1" applyFont="1" applyFill="1" applyBorder="1" applyAlignment="1">
      <x:alignment wrapText="1"/>
    </x:xf>
    <x:xf numFmtId="0" fontId="11" fillId="7" borderId="1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 applyAlignment="1">
      <x:alignment horizontal="center" vertical="top" wrapText="1"/>
    </x:xf>
    <x:xf numFmtId="0" fontId="9" fillId="0" borderId="1" xfId="0" applyNumberFormat="1" applyFont="1" applyFill="1" applyBorder="1" applyAlignment="1">
      <x:alignment horizontal="center" vertical="top" wrapText="1"/>
    </x:xf>
    <x:xf numFmtId="0" fontId="8" fillId="6" borderId="2" xfId="0" applyNumberFormat="1" applyFont="1" applyFill="1" applyBorder="1" applyAlignment="1">
      <x:alignment vertical="center"/>
    </x:xf>
    <x:xf numFmtId="0" fontId="8" fillId="6" borderId="3" xfId="0" applyNumberFormat="1" applyFont="1" applyFill="1" applyBorder="1" applyAlignment="1">
      <x:alignment vertical="center"/>
    </x:xf>
    <x:xf numFmtId="0" fontId="0" fillId="0" borderId="3" xfId="0" applyNumberFormat="1" applyFont="1" applyFill="1" applyBorder="1"/>
    <x:xf numFmtId="0" fontId="8" fillId="6" borderId="4" xfId="0" applyNumberFormat="1" applyFont="1" applyFill="1" applyBorder="1" applyAlignment="1">
      <x:alignment vertical="center"/>
    </x:xf>
    <x:xf numFmtId="0" fontId="9" fillId="0" borderId="5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10" fillId="4" borderId="6" xfId="0" applyNumberFormat="1" applyFont="1" applyFill="1" applyBorder="1" applyAlignment="1">
      <x:alignment vertical="center" wrapText="1"/>
    </x:xf>
    <x:xf numFmtId="0" fontId="11" fillId="7" borderId="6" xfId="0" applyNumberFormat="1" applyFont="1" applyFill="1" applyBorder="1" applyAlignment="1">
      <x:alignment vertical="center" wrapText="1"/>
    </x:xf>
    <x:xf numFmtId="0" fontId="2" fillId="0" borderId="5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8" fillId="6" borderId="5" xfId="0" applyNumberFormat="1" applyFont="1" applyFill="1" applyBorder="1" applyAlignment="1">
      <x:alignment vertical="center"/>
    </x:xf>
    <x:xf numFmtId="0" fontId="8" fillId="6" borderId="6" xfId="0" applyNumberFormat="1" applyFont="1" applyFill="1" applyBorder="1" applyAlignment="1">
      <x:alignment vertical="center"/>
    </x:xf>
    <x:xf numFmtId="0" fontId="9" fillId="0" borderId="5" xfId="0" applyNumberFormat="1" applyFont="1" applyFill="1" applyBorder="1" applyAlignment="1">
      <x:alignment horizontal="center" vertical="top" wrapText="1"/>
    </x:xf>
    <x:xf numFmtId="0" fontId="9" fillId="0" borderId="7" xfId="0" applyNumberFormat="1" applyFont="1" applyFill="1" applyBorder="1" applyAlignment="1">
      <x:alignment horizontal="center" vertical="top" wrapText="1"/>
    </x:xf>
    <x:xf numFmtId="0" fontId="9" fillId="0" borderId="8" xfId="0" applyNumberFormat="1" applyFont="1" applyFill="1" applyBorder="1" applyAlignment="1">
      <x:alignment vertical="top" wrapText="1"/>
    </x:xf>
    <x:xf numFmtId="0" fontId="8" fillId="6" borderId="10" xfId="0" applyNumberFormat="1" applyFont="1" applyFill="1" applyBorder="1" applyAlignment="1">
      <x:alignment vertical="center"/>
    </x:xf>
    <x:xf numFmtId="0" fontId="8" fillId="6" borderId="11" xfId="0" applyNumberFormat="1" applyFont="1" applyFill="1" applyBorder="1" applyAlignment="1">
      <x:alignment vertical="center"/>
    </x:xf>
    <x:xf numFmtId="0" fontId="0" fillId="0" borderId="11" xfId="0" applyNumberFormat="1" applyFont="1" applyFill="1" applyBorder="1"/>
    <x:xf numFmtId="0" fontId="8" fillId="6" borderId="12" xfId="0" applyNumberFormat="1" applyFont="1" applyFill="1" applyBorder="1" applyAlignment="1">
      <x:alignment vertical="center"/>
    </x:xf>
    <x:xf numFmtId="0" fontId="9" fillId="0" borderId="13" xfId="0" applyNumberFormat="1" applyFont="1" applyFill="1" applyBorder="1" applyAlignment="1">
      <x:alignment vertical="top" wrapText="1"/>
    </x:xf>
    <x:xf numFmtId="0" fontId="10" fillId="4" borderId="14" xfId="0" applyNumberFormat="1" applyFont="1" applyFill="1" applyBorder="1" applyAlignment="1">
      <x:alignment vertical="center" wrapText="1"/>
    </x:xf>
    <x:xf numFmtId="0" fontId="11" fillId="7" borderId="14" xfId="0" applyNumberFormat="1" applyFont="1" applyFill="1" applyBorder="1" applyAlignment="1">
      <x:alignment vertical="center" wrapText="1"/>
    </x:xf>
    <x:xf numFmtId="0" fontId="2" fillId="0" borderId="13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8" fillId="6" borderId="13" xfId="0" applyNumberFormat="1" applyFont="1" applyFill="1" applyBorder="1" applyAlignment="1">
      <x:alignment vertical="center"/>
    </x:xf>
    <x:xf numFmtId="0" fontId="8" fillId="6" borderId="14" xfId="0" applyNumberFormat="1" applyFont="1" applyFill="1" applyBorder="1" applyAlignment="1">
      <x:alignment vertical="center"/>
    </x:xf>
    <x:xf numFmtId="0" fontId="9" fillId="0" borderId="13" xfId="0" applyNumberFormat="1" applyFont="1" applyFill="1" applyBorder="1" applyAlignment="1">
      <x:alignment horizontal="center" vertical="top" wrapText="1"/>
    </x:xf>
    <x:xf numFmtId="0" fontId="9" fillId="0" borderId="15" xfId="0" applyNumberFormat="1" applyFont="1" applyFill="1" applyBorder="1" applyAlignment="1">
      <x:alignment horizontal="center" vertical="top" wrapText="1"/>
    </x:xf>
    <x:xf numFmtId="0" fontId="9" fillId="0" borderId="16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 applyAlignment="1">
      <x:alignment vertical="top" wrapText="1"/>
    </x:xf>
    <x:xf numFmtId="0" fontId="5" fillId="0" borderId="5" xfId="0" applyNumberFormat="1" applyFont="1" applyFill="1" applyBorder="1" applyAlignment="1">
      <x:alignment vertical="top" wrapText="1"/>
    </x:xf>
    <x:xf numFmtId="0" fontId="5" fillId="0" borderId="7" xfId="0" applyNumberFormat="1" applyFont="1" applyFill="1" applyBorder="1" applyAlignment="1">
      <x:alignment vertical="top" wrapText="1"/>
    </x:xf>
    <x:xf numFmtId="0" fontId="5" fillId="0" borderId="13" xfId="0" applyNumberFormat="1" applyFont="1" applyFill="1" applyBorder="1" applyAlignment="1">
      <x:alignment vertical="top" wrapText="1"/>
    </x:xf>
    <x:xf numFmtId="0" fontId="5" fillId="0" borderId="15" xfId="0" applyNumberFormat="1" applyFont="1" applyFill="1" applyBorder="1" applyAlignment="1">
      <x:alignment vertical="top" wrapText="1"/>
    </x:xf>
    <x:xf numFmtId="0" fontId="10" fillId="4" borderId="5" xfId="0" applyNumberFormat="1" applyFont="1" applyFill="1" applyBorder="1" applyAlignment="1">
      <x:alignment vertical="center" wrapText="1"/>
    </x:xf>
    <x:xf numFmtId="0" fontId="10" fillId="4" borderId="7" xfId="0" applyNumberFormat="1" applyFont="1" applyFill="1" applyBorder="1" applyAlignment="1">
      <x:alignment vertical="center" wrapText="1"/>
    </x:xf>
    <x:xf numFmtId="0" fontId="10" fillId="4" borderId="8" xfId="0" applyNumberFormat="1" applyFont="1" applyFill="1" applyBorder="1" applyAlignment="1">
      <x:alignment vertical="center" wrapText="1"/>
    </x:xf>
    <x:xf numFmtId="0" fontId="10" fillId="4" borderId="9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65376e4f8b4330" /><Relationship Type="http://schemas.openxmlformats.org/officeDocument/2006/relationships/theme" Target="/xl/theme/theme1.xml" Id="R0f75bbca7753454d" /><Relationship Type="http://schemas.openxmlformats.org/officeDocument/2006/relationships/sharedStrings" Target="/xl/sharedStrings.xml" Id="R0744c524b8a84e82" /><Relationship Type="http://schemas.openxmlformats.org/officeDocument/2006/relationships/worksheet" Target="/xl/worksheets/sheet1.xml" Id="R33040ba6cbff4662" /><Relationship Type="http://schemas.openxmlformats.org/officeDocument/2006/relationships/worksheet" Target="/xl/worksheets/sheet2.xml" Id="Rb7d8b7f794264b38" /><Relationship Type="http://schemas.openxmlformats.org/officeDocument/2006/relationships/worksheet" Target="/xl/worksheets/sheet3.xml" Id="R32cc280562a64f15" /><Relationship Type="http://schemas.openxmlformats.org/officeDocument/2006/relationships/worksheet" Target="/xl/worksheets/sheet4.xml" Id="Re46f5afb31b64a40" /><Relationship Type="http://schemas.openxmlformats.org/officeDocument/2006/relationships/worksheet" Target="/xl/worksheets/sheet5.xml" Id="R0ed666ab472444bb" /><Relationship Type="http://schemas.openxmlformats.org/officeDocument/2006/relationships/worksheet" Target="/xl/worksheets/sheet6.xml" Id="R7abf0fdb98ca46c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6" hidden="0" customWidth="1"/>
    <x:col min="3" max="3" width="24" hidden="0" customWidth="1"/>
    <x:col min="4" max="4" width="27" hidden="0" customWidth="1"/>
    <x:col min="5" max="5" width="12" hidden="0" customWidth="1"/>
    <x:col min="6" max="6" width="3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27" customHeight="1">
      <x:c r="A1" s="55" t="str">
        <x:v>ZERO TO JOB-READY DATA ENGINEER 2026 - MASTER INDEX RC4</x:v>
      </x:c>
      <x:c r="B1" s="55"/>
      <x:c r="C1" s="55"/>
      <x:c r="D1" s="55"/>
      <x:c r="E1" s="55"/>
      <x:c r="F1" s="55"/>
      <x:c r="G1" s="55"/>
      <x:c r="H1" s="55"/>
      <x:c r="I1" s="55"/>
    </x:row>
    <x:row r="2" ht="27" customHeight="1">
      <x:c r="A2" s="55"/>
      <x:c r="B2" s="55"/>
      <x:c r="C2" s="55"/>
      <x:c r="D2" s="55"/>
      <x:c r="E2" s="55"/>
      <x:c r="F2" s="55"/>
      <x:c r="G2" s="55"/>
      <x:c r="H2" s="55"/>
      <x:c r="I2" s="55"/>
    </x:row>
    <x:row r="3" ht="20" customHeight="1">
      <x:c r="A3" s="60" t="str">
        <x:v>Production artifact recovery complete - release-validation checkpoint - 27 Aug 2026 - NOT FINAL</x:v>
      </x:c>
      <x:c r="B3" s="60"/>
      <x:c r="C3" s="60"/>
      <x:c r="D3" s="60"/>
      <x:c r="E3" s="60"/>
      <x:c r="F3" s="60"/>
      <x:c r="G3" s="60"/>
      <x:c r="H3" s="60"/>
      <x:c r="I3" s="60"/>
    </x:row>
    <x:row r="5">
      <x:c r="A5" s="92" t="str">
        <x:v>CONTROLLED CURRICULUM</x:v>
      </x:c>
      <x:c r="B5" s="93"/>
      <x:c r="C5" s="94"/>
      <x:c r="D5" s="93" t="str">
        <x:v>RECOVERY STATUS</x:v>
      </x:c>
      <x:c r="E5" s="93"/>
      <x:c r="F5" s="94"/>
      <x:c r="G5" s="93" t="str">
        <x:v>RELEASE DECISION</x:v>
      </x:c>
      <x:c r="H5" s="93"/>
      <x:c r="I5" s="95"/>
    </x:row>
    <x:row r="6" ht="26" customHeight="1">
      <x:c r="A6" s="96" t="str">
        <x:v>Formal lessons (M00-M17 + M19)</x:v>
      </x:c>
      <x:c r="B6" s="14" t="n">
        <x:f>SUM(Modules!C2:C19)+Modules!C21</x:f>
        <x:v>264</x:v>
      </x:c>
      <x:c r="C6" s="14"/>
      <x:c r="D6" s="70" t="str">
        <x:v>Production module RCs recovered</x:v>
      </x:c>
      <x:c r="E6" s="14" t="n">
        <x:f>SUM(Modules!P2:P21)</x:f>
        <x:v>20</x:v>
      </x:c>
      <x:c r="F6" s="97"/>
      <x:c r="G6" s="77" t="str">
        <x:v>COURSE NOT FINAL. All 20 production module RCs and all 7 protected Gate RCs are now represented, but Mentor 264/7 parity, remaining real-runtime proofs, learner-PC/Android smoke tests, and final master-package parity/hash audit still remain.</x:v>
      </x:c>
      <x:c r="H6" s="77"/>
      <x:c r="I6" s="98"/>
    </x:row>
    <x:row r="7" ht="26" customHeight="1">
      <x:c r="A7" s="96" t="str">
        <x:v>M18 project/capstone phases</x:v>
      </x:c>
      <x:c r="B7" s="14" t="n">
        <x:f>Modules!C20</x:f>
        <x:v>50</x:v>
      </x:c>
      <x:c r="C7" s="14"/>
      <x:c r="D7" s="70" t="str">
        <x:v>Production module RCs missing</x:v>
      </x:c>
      <x:c r="E7" s="14" t="n">
        <x:f>SUM(Modules!Q2:Q21)</x:f>
        <x:v>0</x:v>
      </x:c>
      <x:c r="F7" s="97"/>
      <x:c r="G7" s="77"/>
      <x:c r="H7" s="77"/>
      <x:c r="I7" s="98"/>
    </x:row>
    <x:row r="8" ht="26" customHeight="1">
      <x:c r="A8" s="96" t="str">
        <x:v>Total controlled units</x:v>
      </x:c>
      <x:c r="B8" s="14" t="n">
        <x:f>B6+B7</x:f>
        <x:v>314</x:v>
      </x:c>
      <x:c r="C8" s="14"/>
      <x:c r="D8" s="70" t="str">
        <x:v>Gate RCs recovered</x:v>
      </x:c>
      <x:c r="E8" s="14" t="n">
        <x:f>SUM(Gates!K2:K8)</x:f>
        <x:v>7</x:v>
      </x:c>
      <x:c r="F8" s="97"/>
      <x:c r="G8" s="85" t="str">
        <x:v>Recovery milestone: 20/20 production modules + 7/7 protected Gates. Promotion Runway remains QA-passed. Mentor candidate remains 230 lessons / 6 gates versus required 264 / 7, so deployment is still blocked.</x:v>
      </x:c>
      <x:c r="H8" s="85"/>
      <x:c r="I8" s="99"/>
    </x:row>
    <x:row r="9" ht="26" customHeight="1">
      <x:c r="A9" s="96" t="str">
        <x:v>Protected Gates required</x:v>
      </x:c>
      <x:c r="B9" s="14" t="n">
        <x:f>COUNTA(Gates!A2:A8)</x:f>
        <x:v>7</x:v>
      </x:c>
      <x:c r="C9" s="14"/>
      <x:c r="D9" s="70" t="str">
        <x:v>Gate RCs missing</x:v>
      </x:c>
      <x:c r="E9" s="14" t="n">
        <x:f>SUM(Gates!L2:L8)</x:f>
        <x:v>0</x:v>
      </x:c>
      <x:c r="F9" s="97"/>
      <x:c r="G9" s="85"/>
      <x:c r="H9" s="85"/>
      <x:c r="I9" s="99"/>
    </x:row>
    <x:row r="10" ht="26" customHeight="1">
      <x:c r="A10" s="100"/>
      <x:c r="B10" s="14"/>
      <x:c r="C10" s="14"/>
      <x:c r="D10" s="70" t="str">
        <x:v>Promotion Runway</x:v>
      </x:c>
      <x:c r="E10" s="72" t="str">
        <x:v>PASS</x:v>
      </x:c>
      <x:c r="F10" s="97"/>
      <x:c r="G10" s="85"/>
      <x:c r="H10" s="85"/>
      <x:c r="I10" s="99"/>
    </x:row>
    <x:row r="11">
      <x:c r="A11" s="101"/>
      <x:c r="B11" s="97"/>
      <x:c r="C11" s="97"/>
      <x:c r="D11" s="97"/>
      <x:c r="E11" s="97"/>
      <x:c r="F11" s="97"/>
      <x:c r="G11" s="97"/>
      <x:c r="H11" s="97"/>
      <x:c r="I11" s="102"/>
    </x:row>
    <x:row r="12">
      <x:c r="A12" s="103" t="str">
        <x:v>WHAT THIS INDEX CONTROLS</x:v>
      </x:c>
      <x:c r="B12" s="66"/>
      <x:c r="C12" s="66"/>
      <x:c r="D12" s="66"/>
      <x:c r="E12" s="66"/>
      <x:c r="F12" s="66"/>
      <x:c r="G12" s="66"/>
      <x:c r="H12" s="66"/>
      <x:c r="I12" s="104"/>
    </x:row>
    <x:row r="13" ht="36" customHeight="1">
      <x:c r="A13" s="105" t="str">
        <x:v>1</x:v>
      </x:c>
      <x:c r="B13" s="70" t="str">
        <x:v>Curriculum count</x:v>
      </x:c>
      <x:c r="C13" s="14" t="str">
        <x:v>Frozen production baseline: 264 formal lessons + 50 M18 phases = 314 controlled units.</x:v>
      </x:c>
      <x:c r="D13" s="14"/>
      <x:c r="E13" s="14"/>
      <x:c r="F13" s="14"/>
      <x:c r="G13" s="14"/>
      <x:c r="H13" s="14"/>
      <x:c r="I13" s="48"/>
    </x:row>
    <x:row r="14" ht="36" customHeight="1">
      <x:c r="A14" s="105" t="str">
        <x:v>2</x:v>
      </x:c>
      <x:c r="B14" s="70" t="str">
        <x:v>Artifact recovery</x:v>
      </x:c>
      <x:c r="C14" s="14" t="str">
        <x:v>All frozen production module and Gate RC slots are now represented; legacy predecessors remain separated from current production RCs.</x:v>
      </x:c>
      <x:c r="D14" s="14"/>
      <x:c r="E14" s="14"/>
      <x:c r="F14" s="14"/>
      <x:c r="G14" s="14"/>
      <x:c r="H14" s="14"/>
      <x:c r="I14" s="48"/>
    </x:row>
    <x:row r="15" ht="36" customHeight="1">
      <x:c r="A15" s="105" t="str">
        <x:v>3</x:v>
      </x:c>
      <x:c r="B15" s="70" t="str">
        <x:v>Assessment protection</x:v>
      </x:c>
      <x:c r="C15" s="14" t="str">
        <x:v>Seven protected Gates are represented, each requiring Gate A plus a different fresh Gate B and post-attempt review separation.</x:v>
      </x:c>
      <x:c r="D15" s="14"/>
      <x:c r="E15" s="14"/>
      <x:c r="F15" s="14"/>
      <x:c r="G15" s="14"/>
      <x:c r="H15" s="14"/>
      <x:c r="I15" s="48"/>
    </x:row>
    <x:row r="16" ht="36" customHeight="1">
      <x:c r="A16" s="105" t="str">
        <x:v>4</x:v>
      </x:c>
      <x:c r="B16" s="70" t="str">
        <x:v>Mentor parity</x:v>
      </x:c>
      <x:c r="C16" s="14" t="str">
        <x:v>Current Mentor candidate is preserved for audit only and must be rebuilt before deployment.</x:v>
      </x:c>
      <x:c r="D16" s="14"/>
      <x:c r="E16" s="14"/>
      <x:c r="F16" s="14"/>
      <x:c r="G16" s="14"/>
      <x:c r="H16" s="14"/>
      <x:c r="I16" s="48"/>
    </x:row>
    <x:row r="17" ht="36" customHeight="1">
      <x:c r="A17" s="106" t="str">
        <x:v>5</x:v>
      </x:c>
      <x:c r="B17" s="107" t="str">
        <x:v>Release truth</x:v>
      </x:c>
      <x:c r="C17" s="28" t="str">
        <x:v>RC4 closes production artifact recovery, but it still does not authorize FINAL or DEPLOYED until runtime, Mentor, smoke and final parity audits pass.</x:v>
      </x:c>
      <x:c r="D17" s="28"/>
      <x:c r="E17" s="28"/>
      <x:c r="F17" s="28"/>
      <x:c r="G17" s="28"/>
      <x:c r="H17" s="28"/>
      <x:c r="I17" s="50"/>
    </x:row>
  </x:sheetData>
  <x:mergeCells>
    <x:mergeCell ref="A1:I2"/>
    <x:mergeCell ref="A3:I3"/>
    <x:mergeCell ref="A5:B5"/>
    <x:mergeCell ref="D5:E5"/>
    <x:mergeCell ref="G5:I5"/>
    <x:mergeCell ref="G6:I7"/>
    <x:mergeCell ref="G8:I10"/>
    <x:mergeCell ref="A12:I12"/>
    <x:mergeCell ref="C13:I13"/>
    <x:mergeCell ref="C14:I14"/>
    <x:mergeCell ref="C15:I15"/>
    <x:mergeCell ref="C16:I16"/>
    <x:mergeCell ref="C17:I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1" hidden="0" customWidth="1"/>
    <x:col min="3" max="3" width="12" hidden="0" customWidth="1"/>
    <x:col min="4" max="4" width="9" hidden="0" customWidth="1"/>
    <x:col min="5" max="5" width="9" hidden="0" customWidth="1"/>
    <x:col min="6" max="6" width="11" hidden="0" customWidth="1"/>
    <x:col min="7" max="7" width="8" hidden="0" customWidth="1"/>
    <x:col min="8" max="8" width="8" hidden="0" customWidth="1"/>
    <x:col min="9" max="9" width="8" hidden="0" customWidth="1"/>
    <x:col min="10" max="10" width="29" hidden="0" customWidth="1"/>
    <x:col min="11" max="11" width="40" hidden="0" customWidth="1"/>
    <x:col min="12" max="12" width="25" hidden="0" customWidth="1"/>
    <x:col min="13" max="13" width="9" hidden="0" customWidth="1"/>
    <x:col min="14" max="14" width="7" hidden="0" customWidth="1"/>
    <x:col min="15" max="15" width="10" hidden="0" customWidth="1"/>
    <x:col min="16" max="16" width="10" hidden="0" customWidth="1"/>
    <x:col min="17" max="17" width="9" hidden="0" customWidth="1"/>
  </x:cols>
  <x:sheetData>
    <x:row r="1">
      <x:c r="A1" s="22" t="str">
        <x:v>Module</x:v>
      </x:c>
      <x:c r="B1" s="23" t="str">
        <x:v>Controlled title</x:v>
      </x:c>
      <x:c r="C1" s="23" t="str">
        <x:v>Lessons / phases</x:v>
      </x:c>
      <x:c r="D1" s="23" t="str">
        <x:v>Video map</x:v>
      </x:c>
      <x:c r="E1" s="23" t="str">
        <x:v>Guided</x:v>
      </x:c>
      <x:c r="F1" s="23" t="str">
        <x:v>Independent</x:v>
      </x:c>
      <x:c r="G1" s="23" t="str">
        <x:v>Checks</x:v>
      </x:c>
      <x:c r="H1" s="23" t="str">
        <x:v>Major</x:v>
      </x:c>
      <x:c r="I1" s="23" t="str">
        <x:v>Fresh</x:v>
      </x:c>
      <x:c r="J1" s="23" t="str">
        <x:v>Artifact status</x:v>
      </x:c>
      <x:c r="K1" s="23" t="str">
        <x:v>Current artifact</x:v>
      </x:c>
      <x:c r="L1" s="23" t="str">
        <x:v>SHA-256</x:v>
      </x:c>
      <x:c r="M1" s="23" t="str">
        <x:v>ZIP files</x:v>
      </x:c>
      <x:c r="N1" s="23" t="str">
        <x:v>PDFs</x:v>
      </x:c>
      <x:c r="O1" s="23" t="str">
        <x:v>Nested ZIPs</x:v>
      </x:c>
      <x:c r="P1" s="23" t="str">
        <x:v>Recovered flag</x:v>
      </x:c>
      <x:c r="Q1" s="24" t="str">
        <x:v>Missing flag</x:v>
      </x:c>
    </x:row>
    <x:row r="2" ht="30" customHeight="1">
      <x:c r="A2" s="25" t="str">
        <x:v>M00</x:v>
      </x:c>
      <x:c r="B2" s="14" t="str">
        <x:v>Computer, Setup &amp; Learning Foundations</x:v>
      </x:c>
      <x:c r="C2" s="20" t="n">
        <x:v>8</x:v>
      </x:c>
      <x:c r="D2" s="20" t="n">
        <x:v>4</x:v>
      </x:c>
      <x:c r="E2" s="20" t="n">
        <x:v>4</x:v>
      </x:c>
      <x:c r="F2" s="20" t="n">
        <x:v>5</x:v>
      </x:c>
      <x:c r="G2" s="20" t="n">
        <x:v>0</x:v>
      </x:c>
      <x:c r="H2" s="20" t="n">
        <x:v>1</x:v>
      </x:c>
      <x:c r="I2" s="20" t="n">
        <x:v>1</x:v>
      </x:c>
      <x:c r="J2" s="14" t="str">
        <x:v>Production RC recovered</x:v>
      </x:c>
      <x:c r="K2" s="14" t="str">
        <x:v>M00_COMPUTER_SETUP_RC1.zip</x:v>
      </x:c>
      <x:c r="L2" s="14" t="str">
        <x:v>62f80ab99b3998f3b5b1fa4b44d1f9f2f7d5a65b97606ac1e8393980e5a39edc</x:v>
      </x:c>
      <x:c r="M2" s="20" t="n">
        <x:v>32</x:v>
      </x:c>
      <x:c r="N2" s="20" t="n">
        <x:v>9</x:v>
      </x:c>
      <x:c r="O2" s="20" t="n">
        <x:v>2</x:v>
      </x:c>
      <x:c r="P2" s="20" t="n">
        <x:v>1</x:v>
      </x:c>
      <x:c r="Q2" s="26" t="n">
        <x:v>0</x:v>
      </x:c>
    </x:row>
    <x:row r="3" ht="30" customHeight="1">
      <x:c r="A3" s="25" t="str">
        <x:v>M01</x:v>
      </x:c>
      <x:c r="B3" s="14" t="str">
        <x:v>Data Foundations + Essential Excel</x:v>
      </x:c>
      <x:c r="C3" s="20" t="n">
        <x:v>15</x:v>
      </x:c>
      <x:c r="D3" s="20" t="n">
        <x:v>9</x:v>
      </x:c>
      <x:c r="E3" s="20" t="n">
        <x:v>12</x:v>
      </x:c>
      <x:c r="F3" s="20" t="n">
        <x:v>10</x:v>
      </x:c>
      <x:c r="G3" s="20" t="n">
        <x:v>4</x:v>
      </x:c>
      <x:c r="H3" s="20" t="n">
        <x:v>1</x:v>
      </x:c>
      <x:c r="I3" s="20" t="n">
        <x:v>1</x:v>
      </x:c>
      <x:c r="J3" s="14" t="str">
        <x:v>Production RC recovered - rebuilt RC1</x:v>
      </x:c>
      <x:c r="K3" s="14" t="str">
        <x:v>M01_DATA_FOUNDATIONS_ESSENTIAL_EXCEL_RC1.zip</x:v>
      </x:c>
      <x:c r="L3" s="14" t="str">
        <x:v>98c2e55e9d2148bfa1677153baa57699472ed95c43ac5de7fb19f46bafeb3876</x:v>
      </x:c>
      <x:c r="M3" s="20" t="n">
        <x:v>20</x:v>
      </x:c>
      <x:c r="N3" s="20" t="n">
        <x:v>11</x:v>
      </x:c>
      <x:c r="O3" s="20" t="n">
        <x:v>0</x:v>
      </x:c>
      <x:c r="P3" s="20" t="n">
        <x:v>1</x:v>
      </x:c>
      <x:c r="Q3" s="26" t="n">
        <x:v>0</x:v>
      </x:c>
    </x:row>
    <x:row r="4" ht="30" customHeight="1">
      <x:c r="A4" s="25" t="str">
        <x:v>M02</x:v>
      </x:c>
      <x:c r="B4" s="14" t="str">
        <x:v>SQL Foundations</x:v>
      </x:c>
      <x:c r="C4" s="20" t="n">
        <x:v>14</x:v>
      </x:c>
      <x:c r="D4" s="20" t="n">
        <x:v>9</x:v>
      </x:c>
      <x:c r="E4" s="20" t="n">
        <x:v>12</x:v>
      </x:c>
      <x:c r="F4" s="20" t="n">
        <x:v>14</x:v>
      </x:c>
      <x:c r="G4" s="20" t="n">
        <x:v>4</x:v>
      </x:c>
      <x:c r="H4" s="20" t="n">
        <x:v>1</x:v>
      </x:c>
      <x:c r="I4" s="20" t="n">
        <x:v>1</x:v>
      </x:c>
      <x:c r="J4" s="14" t="str">
        <x:v>Production RC recovered - rebuilt RC1</x:v>
      </x:c>
      <x:c r="K4" s="14" t="str">
        <x:v>M02_SQL_FOUNDATIONS_RC1.zip</x:v>
      </x:c>
      <x:c r="L4" s="14" t="str">
        <x:v>c115026927f025acfa23697ef73825f45b8dbbcb3291442de1bc8c713ec2e4b8</x:v>
      </x:c>
      <x:c r="M4" s="20" t="n">
        <x:v>21</x:v>
      </x:c>
      <x:c r="N4" s="20" t="n">
        <x:v>11</x:v>
      </x:c>
      <x:c r="O4" s="20" t="n">
        <x:v>0</x:v>
      </x:c>
      <x:c r="P4" s="20" t="n">
        <x:v>1</x:v>
      </x:c>
      <x:c r="Q4" s="26" t="n">
        <x:v>0</x:v>
      </x:c>
    </x:row>
    <x:row r="5" ht="30" customHeight="1">
      <x:c r="A5" s="25" t="str">
        <x:v>M03</x:v>
      </x:c>
      <x:c r="B5" s="14" t="str">
        <x:v>Advanced SQL + PostgreSQL / Database Thinking</x:v>
      </x:c>
      <x:c r="C5" s="20" t="n">
        <x:v>16</x:v>
      </x:c>
      <x:c r="D5" s="20" t="n">
        <x:v>9</x:v>
      </x:c>
      <x:c r="E5" s="20" t="n">
        <x:v>12</x:v>
      </x:c>
      <x:c r="F5" s="20" t="n">
        <x:v>14</x:v>
      </x:c>
      <x:c r="G5" s="20" t="n">
        <x:v>4</x:v>
      </x:c>
      <x:c r="H5" s="20" t="n">
        <x:v>1</x:v>
      </x:c>
      <x:c r="I5" s="20" t="n">
        <x:v>1</x:v>
      </x:c>
      <x:c r="J5" s="14" t="str">
        <x:v>Production RC recovered - rebuilt RC1</x:v>
      </x:c>
      <x:c r="K5" s="14" t="str">
        <x:v>M03_ADVANCED_SQL_POSTGRESQL_DATABASE_THINKING_RC1.zip</x:v>
      </x:c>
      <x:c r="L5" s="14" t="str">
        <x:v>fb744ca234bce7c42061a41d4642f9f753dc6a7a0391273273706e5b8f8d4319</x:v>
      </x:c>
      <x:c r="M5" s="20" t="n">
        <x:v>21</x:v>
      </x:c>
      <x:c r="N5" s="20" t="n">
        <x:v>11</x:v>
      </x:c>
      <x:c r="O5" s="20" t="n">
        <x:v>0</x:v>
      </x:c>
      <x:c r="P5" s="20" t="n">
        <x:v>1</x:v>
      </x:c>
      <x:c r="Q5" s="26" t="n">
        <x:v>0</x:v>
      </x:c>
    </x:row>
    <x:row r="6" ht="30" customHeight="1">
      <x:c r="A6" s="25" t="str">
        <x:v>M04</x:v>
      </x:c>
      <x:c r="B6" s="14" t="str">
        <x:v>Python Foundations</x:v>
      </x:c>
      <x:c r="C6" s="20" t="n">
        <x:v>16</x:v>
      </x:c>
      <x:c r="D6" s="20" t="n">
        <x:v>10</x:v>
      </x:c>
      <x:c r="E6" s="20" t="n">
        <x:v>12</x:v>
      </x:c>
      <x:c r="F6" s="20" t="n">
        <x:v>14</x:v>
      </x:c>
      <x:c r="G6" s="20" t="n">
        <x:v>4</x:v>
      </x:c>
      <x:c r="H6" s="20" t="n">
        <x:v>1</x:v>
      </x:c>
      <x:c r="I6" s="20" t="n">
        <x:v>1</x:v>
      </x:c>
      <x:c r="J6" s="14" t="str">
        <x:v>Production RC recovered - rebuilt RC1</x:v>
      </x:c>
      <x:c r="K6" s="14" t="str">
        <x:v>M04_PYTHON_FOUNDATIONS_RC1.zip</x:v>
      </x:c>
      <x:c r="L6" s="14" t="str">
        <x:v>942f692ab9bcd0c1e1281cc498300d073774de4227763b49563d9f72cc8c51d4</x:v>
      </x:c>
      <x:c r="M6" s="20" t="n">
        <x:v>35</x:v>
      </x:c>
      <x:c r="N6" s="20" t="n">
        <x:v>11</x:v>
      </x:c>
      <x:c r="O6" s="20" t="n">
        <x:v>0</x:v>
      </x:c>
      <x:c r="P6" s="20" t="n">
        <x:v>1</x:v>
      </x:c>
      <x:c r="Q6" s="26" t="n">
        <x:v>0</x:v>
      </x:c>
    </x:row>
    <x:row r="7" ht="30" customHeight="1">
      <x:c r="A7" s="25" t="str">
        <x:v>M05</x:v>
      </x:c>
      <x:c r="B7" s="14" t="str">
        <x:v>Python for Data Engineering</x:v>
      </x:c>
      <x:c r="C7" s="20" t="n">
        <x:v>15</x:v>
      </x:c>
      <x:c r="D7" s="20" t="n">
        <x:v>9</x:v>
      </x:c>
      <x:c r="E7" s="20" t="n">
        <x:v>12</x:v>
      </x:c>
      <x:c r="F7" s="20" t="n">
        <x:v>14</x:v>
      </x:c>
      <x:c r="G7" s="20" t="n">
        <x:v>4</x:v>
      </x:c>
      <x:c r="H7" s="20" t="n">
        <x:v>1</x:v>
      </x:c>
      <x:c r="I7" s="20" t="n">
        <x:v>1</x:v>
      </x:c>
      <x:c r="J7" s="14" t="str">
        <x:v>Production RC recovered</x:v>
      </x:c>
      <x:c r="K7" s="14" t="str">
        <x:v>M05_PYTHON_FOR_DE_RC1.zip</x:v>
      </x:c>
      <x:c r="L7" s="14" t="str">
        <x:v>0a05e04e2c8c1902ab09dcf0a1654e4f60e72c3be5323994bc8fa3f445e1cc1c</x:v>
      </x:c>
      <x:c r="M7" s="20" t="n">
        <x:v>43</x:v>
      </x:c>
      <x:c r="N7" s="20" t="n">
        <x:v>16</x:v>
      </x:c>
      <x:c r="O7" s="20" t="n">
        <x:v>0</x:v>
      </x:c>
      <x:c r="P7" s="20" t="n">
        <x:v>1</x:v>
      </x:c>
      <x:c r="Q7" s="26" t="n">
        <x:v>0</x:v>
      </x:c>
    </x:row>
    <x:row r="8" ht="30" customHeight="1">
      <x:c r="A8" s="25" t="str">
        <x:v>M06</x:v>
      </x:c>
      <x:c r="B8" s="14" t="str">
        <x:v>Git + GitHub + Linux/WSL Engineering Foundations</x:v>
      </x:c>
      <x:c r="C8" s="20" t="n">
        <x:v>13</x:v>
      </x:c>
      <x:c r="D8" s="20" t="n">
        <x:v>7</x:v>
      </x:c>
      <x:c r="E8" s="20" t="n">
        <x:v>10</x:v>
      </x:c>
      <x:c r="F8" s="20" t="n">
        <x:v>8</x:v>
      </x:c>
      <x:c r="G8" s="20" t="n">
        <x:v>4</x:v>
      </x:c>
      <x:c r="H8" s="20" t="n">
        <x:v>1</x:v>
      </x:c>
      <x:c r="I8" s="20" t="n">
        <x:v>1</x:v>
      </x:c>
      <x:c r="J8" s="14" t="str">
        <x:v>Production RC recovered - rebuilt RC1</x:v>
      </x:c>
      <x:c r="K8" s="14" t="str">
        <x:v>M06_GIT_GITHUB_LINUX_WSL_ENGINEERING_FOUNDATIONS_RC1.zip</x:v>
      </x:c>
      <x:c r="L8" s="14" t="str">
        <x:v>4e2359c6046427deebd46c48c1d5d91900e2e1596c2b11595def1f00fa3bffcb</x:v>
      </x:c>
      <x:c r="M8" s="20" t="n">
        <x:v>46</x:v>
      </x:c>
      <x:c r="N8" s="20" t="n">
        <x:v>16</x:v>
      </x:c>
      <x:c r="O8" s="20" t="n">
        <x:v>0</x:v>
      </x:c>
      <x:c r="P8" s="20" t="n">
        <x:v>1</x:v>
      </x:c>
      <x:c r="Q8" s="26" t="n">
        <x:v>0</x:v>
      </x:c>
    </x:row>
    <x:row r="9" ht="30" customHeight="1">
      <x:c r="A9" s="25" t="str">
        <x:v>M07</x:v>
      </x:c>
      <x:c r="B9" s="14" t="str">
        <x:v>PostgreSQL + Data Modeling</x:v>
      </x:c>
      <x:c r="C9" s="20" t="n">
        <x:v>13</x:v>
      </x:c>
      <x:c r="D9" s="20" t="n">
        <x:v>7</x:v>
      </x:c>
      <x:c r="E9" s="20" t="n">
        <x:v>10</x:v>
      </x:c>
      <x:c r="F9" s="20" t="n">
        <x:v>9</x:v>
      </x:c>
      <x:c r="G9" s="20" t="n">
        <x:v>4</x:v>
      </x:c>
      <x:c r="H9" s="20" t="n">
        <x:v>1</x:v>
      </x:c>
      <x:c r="I9" s="20" t="n">
        <x:v>1</x:v>
      </x:c>
      <x:c r="J9" s="14" t="str">
        <x:v>Production RC recovered - rebuilt RC1</x:v>
      </x:c>
      <x:c r="K9" s="14" t="str">
        <x:v>M07_POSTGRESQL_DATA_MODELING_RC1.zip</x:v>
      </x:c>
      <x:c r="L9" s="14" t="str">
        <x:v>8d17a6cc96369debed2d49fe32b9775d3d27888494a6d0cb23793d0be68c73e5</x:v>
      </x:c>
      <x:c r="M9" s="20" t="n">
        <x:v>49</x:v>
      </x:c>
      <x:c r="N9" s="20" t="n">
        <x:v>16</x:v>
      </x:c>
      <x:c r="O9" s="20" t="n">
        <x:v>0</x:v>
      </x:c>
      <x:c r="P9" s="20" t="n">
        <x:v>1</x:v>
      </x:c>
      <x:c r="Q9" s="26" t="n">
        <x:v>0</x:v>
      </x:c>
    </x:row>
    <x:row r="10" ht="30" customHeight="1">
      <x:c r="A10" s="25" t="str">
        <x:v>M08</x:v>
      </x:c>
      <x:c r="B10" s="14" t="str">
        <x:v>Files, APIs &amp; Data Ingestion</x:v>
      </x:c>
      <x:c r="C10" s="20" t="n">
        <x:v>17</x:v>
      </x:c>
      <x:c r="D10" s="20" t="n">
        <x:v>10</x:v>
      </x:c>
      <x:c r="E10" s="20" t="n">
        <x:v>15</x:v>
      </x:c>
      <x:c r="F10" s="20" t="n">
        <x:v>16</x:v>
      </x:c>
      <x:c r="G10" s="20" t="n">
        <x:v>4</x:v>
      </x:c>
      <x:c r="H10" s="20" t="n">
        <x:v>1</x:v>
      </x:c>
      <x:c r="I10" s="20" t="n">
        <x:v>1</x:v>
      </x:c>
      <x:c r="J10" s="14" t="str">
        <x:v>Production RC recovered - rebuilt RC1</x:v>
      </x:c>
      <x:c r="K10" s="14" t="str">
        <x:v>M08_FILES_APIS_DATA_INGESTION_RC1.zip</x:v>
      </x:c>
      <x:c r="L10" s="14" t="str">
        <x:v>ca6af684faf5bb0dca57f0656a533ef545df1093c99185e23dc1deeae7337a83</x:v>
      </x:c>
      <x:c r="M10" s="20" t="n">
        <x:v>83</x:v>
      </x:c>
      <x:c r="N10" s="20" t="n">
        <x:v>16</x:v>
      </x:c>
      <x:c r="O10" s="20" t="n">
        <x:v>0</x:v>
      </x:c>
      <x:c r="P10" s="20" t="n">
        <x:v>1</x:v>
      </x:c>
      <x:c r="Q10" s="26" t="n">
        <x:v>0</x:v>
      </x:c>
    </x:row>
    <x:row r="11" ht="30" customHeight="1">
      <x:c r="A11" s="25" t="str">
        <x:v>M09</x:v>
      </x:c>
      <x:c r="B11" s="14" t="str">
        <x:v>ETL/ELT + Data Quality + Transformation Engineering</x:v>
      </x:c>
      <x:c r="C11" s="20" t="n">
        <x:v>13</x:v>
      </x:c>
      <x:c r="D11" s="20" t="n">
        <x:v>8</x:v>
      </x:c>
      <x:c r="E11" s="20" t="n">
        <x:v>10</x:v>
      </x:c>
      <x:c r="F11" s="20" t="n">
        <x:v>10</x:v>
      </x:c>
      <x:c r="G11" s="20" t="n">
        <x:v>4</x:v>
      </x:c>
      <x:c r="H11" s="20" t="n">
        <x:v>1</x:v>
      </x:c>
      <x:c r="I11" s="20" t="n">
        <x:v>1</x:v>
      </x:c>
      <x:c r="J11" s="14" t="str">
        <x:v>Production RC recovered - rebuilt RC1</x:v>
      </x:c>
      <x:c r="K11" s="14" t="str">
        <x:v>M09_ETL_ELT_DATA_QUALITY_TRANSFORMATION_ENGINEERING_RC1.zip</x:v>
      </x:c>
      <x:c r="L11" s="14" t="str">
        <x:v>813ef5c5d79d67674963e1e8e00ada05d56e119b45d17de0077c1f8fcf9707b7</x:v>
      </x:c>
      <x:c r="M11" s="20" t="n">
        <x:v>55</x:v>
      </x:c>
      <x:c r="N11" s="20" t="n">
        <x:v>16</x:v>
      </x:c>
      <x:c r="O11" s="20" t="n">
        <x:v>0</x:v>
      </x:c>
      <x:c r="P11" s="20" t="n">
        <x:v>1</x:v>
      </x:c>
      <x:c r="Q11" s="26" t="n">
        <x:v>0</x:v>
      </x:c>
    </x:row>
    <x:row r="12" ht="30" customHeight="1">
      <x:c r="A12" s="25" t="str">
        <x:v>M10</x:v>
      </x:c>
      <x:c r="B12" s="14" t="str">
        <x:v>Docker + Airflow</x:v>
      </x:c>
      <x:c r="C12" s="20" t="n">
        <x:v>19</x:v>
      </x:c>
      <x:c r="D12" s="20" t="n">
        <x:v>10</x:v>
      </x:c>
      <x:c r="E12" s="20" t="n">
        <x:v>12</x:v>
      </x:c>
      <x:c r="F12" s="20" t="n">
        <x:v>10</x:v>
      </x:c>
      <x:c r="G12" s="20" t="n">
        <x:v>4</x:v>
      </x:c>
      <x:c r="H12" s="20" t="n">
        <x:v>1</x:v>
      </x:c>
      <x:c r="I12" s="20" t="n">
        <x:v>1</x:v>
      </x:c>
      <x:c r="J12" s="14" t="str">
        <x:v>Production RC recovered</x:v>
      </x:c>
      <x:c r="K12" s="14" t="str">
        <x:v>M10_DOCKER_AIRFLOW_RC2.zip</x:v>
      </x:c>
      <x:c r="L12" s="14" t="str">
        <x:v>0f4a4ea23d386d9839ef689bfd1b221c5cdd3d2713f413a8a3a3e5f727ce6b18</x:v>
      </x:c>
      <x:c r="M12" s="20" t="n">
        <x:v>56</x:v>
      </x:c>
      <x:c r="N12" s="20" t="n">
        <x:v>16</x:v>
      </x:c>
      <x:c r="O12" s="20" t="n">
        <x:v>0</x:v>
      </x:c>
      <x:c r="P12" s="20" t="n">
        <x:v>1</x:v>
      </x:c>
      <x:c r="Q12" s="26" t="n">
        <x:v>0</x:v>
      </x:c>
    </x:row>
    <x:row r="13" ht="30" customHeight="1">
      <x:c r="A13" s="25" t="str">
        <x:v>M11</x:v>
      </x:c>
      <x:c r="B13" s="14" t="str">
        <x:v>Storage &amp; File Formats Foundations</x:v>
      </x:c>
      <x:c r="C13" s="20" t="n">
        <x:v>10</x:v>
      </x:c>
      <x:c r="D13" s="20" t="n">
        <x:v>6</x:v>
      </x:c>
      <x:c r="E13" s="20" t="n">
        <x:v>8</x:v>
      </x:c>
      <x:c r="F13" s="20" t="n">
        <x:v>8</x:v>
      </x:c>
      <x:c r="G13" s="20" t="n">
        <x:v>4</x:v>
      </x:c>
      <x:c r="H13" s="20" t="n">
        <x:v>1</x:v>
      </x:c>
      <x:c r="I13" s="20" t="n">
        <x:v>1</x:v>
      </x:c>
      <x:c r="J13" s="14" t="str">
        <x:v>Production RC recovered - rebuilt RC1</x:v>
      </x:c>
      <x:c r="K13" s="14" t="str">
        <x:v>M11_STORAGE_FILE_FORMATS_FOUNDATIONS_RC1.zip</x:v>
      </x:c>
      <x:c r="L13" s="14" t="str">
        <x:v>f0ecb7a5cb2736b91114b684ca45ae30c341e34b5378001a83ec4f11c7c9817e</x:v>
      </x:c>
      <x:c r="M13" s="20" t="n">
        <x:v>55</x:v>
      </x:c>
      <x:c r="N13" s="20" t="n">
        <x:v>16</x:v>
      </x:c>
      <x:c r="O13" s="20" t="n">
        <x:v>0</x:v>
      </x:c>
      <x:c r="P13" s="20" t="n">
        <x:v>1</x:v>
      </x:c>
      <x:c r="Q13" s="26" t="n">
        <x:v>0</x:v>
      </x:c>
    </x:row>
    <x:row r="14" ht="30" customHeight="1">
      <x:c r="A14" s="25" t="str">
        <x:v>M12</x:v>
      </x:c>
      <x:c r="B14" s="14" t="str">
        <x:v>Distributed Processing with Spark / PySpark</x:v>
      </x:c>
      <x:c r="C14" s="20" t="n">
        <x:v>18</x:v>
      </x:c>
      <x:c r="D14" s="20" t="n">
        <x:v>12</x:v>
      </x:c>
      <x:c r="E14" s="20" t="n">
        <x:v>15</x:v>
      </x:c>
      <x:c r="F14" s="20" t="n">
        <x:v>16</x:v>
      </x:c>
      <x:c r="G14" s="20" t="n">
        <x:v>5</x:v>
      </x:c>
      <x:c r="H14" s="20" t="n">
        <x:v>1</x:v>
      </x:c>
      <x:c r="I14" s="20" t="n">
        <x:v>1</x:v>
      </x:c>
      <x:c r="J14" s="14" t="str">
        <x:v>Production RC recovered - rebuilt RC1</x:v>
      </x:c>
      <x:c r="K14" s="14" t="str">
        <x:v>M12_DISTRIBUTED_PROCESSING_WITH_SPARK_PYSPARK_RC1.zip</x:v>
      </x:c>
      <x:c r="L14" s="14" t="str">
        <x:v>bed5cef40f5b6466459316514e027bc5cc4442aa00230e24e32bbf2f5c488351</x:v>
      </x:c>
      <x:c r="M14" s="20" t="n">
        <x:v>73</x:v>
      </x:c>
      <x:c r="N14" s="20" t="n">
        <x:v>16</x:v>
      </x:c>
      <x:c r="O14" s="20" t="n">
        <x:v>0</x:v>
      </x:c>
      <x:c r="P14" s="20" t="n">
        <x:v>1</x:v>
      </x:c>
      <x:c r="Q14" s="26" t="n">
        <x:v>0</x:v>
      </x:c>
    </x:row>
    <x:row r="15" ht="30" customHeight="1">
      <x:c r="A15" s="25" t="str">
        <x:v>M13</x:v>
      </x:c>
      <x:c r="B15" s="14" t="str">
        <x:v>Delta Lake + Lakehouse</x:v>
      </x:c>
      <x:c r="C15" s="20" t="n">
        <x:v>11</x:v>
      </x:c>
      <x:c r="D15" s="20" t="n">
        <x:v>7</x:v>
      </x:c>
      <x:c r="E15" s="20" t="n">
        <x:v>10</x:v>
      </x:c>
      <x:c r="F15" s="20" t="n">
        <x:v>9</x:v>
      </x:c>
      <x:c r="G15" s="20" t="n">
        <x:v>4</x:v>
      </x:c>
      <x:c r="H15" s="20" t="n">
        <x:v>1</x:v>
      </x:c>
      <x:c r="I15" s="20" t="n">
        <x:v>1</x:v>
      </x:c>
      <x:c r="J15" s="14" t="str">
        <x:v>Production RC recovered</x:v>
      </x:c>
      <x:c r="K15" s="14" t="str">
        <x:v>M13_DELTA_LAKEHOUSE_RC2.zip</x:v>
      </x:c>
      <x:c r="L15" s="14" t="str">
        <x:v>2ef6492e285976b7d714e8ec47022cf06044ffdbf96b6cc42b95ac17b7410c17</x:v>
      </x:c>
      <x:c r="M15" s="20" t="n">
        <x:v>56</x:v>
      </x:c>
      <x:c r="N15" s="20" t="n">
        <x:v>16</x:v>
      </x:c>
      <x:c r="O15" s="20" t="n">
        <x:v>0</x:v>
      </x:c>
      <x:c r="P15" s="20" t="n">
        <x:v>1</x:v>
      </x:c>
      <x:c r="Q15" s="26" t="n">
        <x:v>0</x:v>
      </x:c>
    </x:row>
    <x:row r="16" ht="30" customHeight="1">
      <x:c r="A16" s="25" t="str">
        <x:v>M14</x:v>
      </x:c>
      <x:c r="B16" s="14" t="str">
        <x:v>Kafka + Streaming Foundations</x:v>
      </x:c>
      <x:c r="C16" s="20" t="n">
        <x:v>12</x:v>
      </x:c>
      <x:c r="D16" s="20" t="n">
        <x:v>7</x:v>
      </x:c>
      <x:c r="E16" s="20" t="n">
        <x:v>10</x:v>
      </x:c>
      <x:c r="F16" s="20" t="n">
        <x:v>9</x:v>
      </x:c>
      <x:c r="G16" s="20" t="n">
        <x:v>4</x:v>
      </x:c>
      <x:c r="H16" s="20" t="n">
        <x:v>1</x:v>
      </x:c>
      <x:c r="I16" s="20" t="n">
        <x:v>1</x:v>
      </x:c>
      <x:c r="J16" s="14" t="str">
        <x:v>Production RC recovered</x:v>
      </x:c>
      <x:c r="K16" s="14" t="str">
        <x:v>M14_KAFKA_STREAMING_RC1.zip</x:v>
      </x:c>
      <x:c r="L16" s="14" t="str">
        <x:v>3fd8485b26606d89690f25505009ebdf34c8da697b1df72cc2d5f35c8bf75ffb</x:v>
      </x:c>
      <x:c r="M16" s="20" t="n">
        <x:v>59</x:v>
      </x:c>
      <x:c r="N16" s="20" t="n">
        <x:v>16</x:v>
      </x:c>
      <x:c r="O16" s="20" t="n">
        <x:v>0</x:v>
      </x:c>
      <x:c r="P16" s="20" t="n">
        <x:v>1</x:v>
      </x:c>
      <x:c r="Q16" s="26" t="n">
        <x:v>0</x:v>
      </x:c>
    </x:row>
    <x:row r="17" ht="30" customHeight="1">
      <x:c r="A17" s="25" t="str">
        <x:v>M15</x:v>
      </x:c>
      <x:c r="B17" s="14" t="str">
        <x:v>Azure + Microsoft Fabric Data Engineering</x:v>
      </x:c>
      <x:c r="C17" s="20" t="n">
        <x:v>16</x:v>
      </x:c>
      <x:c r="D17" s="20" t="n">
        <x:v>9</x:v>
      </x:c>
      <x:c r="E17" s="20" t="n">
        <x:v>12</x:v>
      </x:c>
      <x:c r="F17" s="20" t="n">
        <x:v>10</x:v>
      </x:c>
      <x:c r="G17" s="20" t="n">
        <x:v>4</x:v>
      </x:c>
      <x:c r="H17" s="20" t="n">
        <x:v>1</x:v>
      </x:c>
      <x:c r="I17" s="20" t="n">
        <x:v>1</x:v>
      </x:c>
      <x:c r="J17" s="14" t="str">
        <x:v>Production RC recovered</x:v>
      </x:c>
      <x:c r="K17" s="14" t="str">
        <x:v>M15_AZURE_FABRIC_RC1.zip</x:v>
      </x:c>
      <x:c r="L17" s="14" t="str">
        <x:v>bd15a37c6080b21e8fd6d9b3c4a26653fb62a5c5fea9fbe4ffe3e51f4b4a4dfb</x:v>
      </x:c>
      <x:c r="M17" s="20" t="n">
        <x:v>62</x:v>
      </x:c>
      <x:c r="N17" s="20" t="n">
        <x:v>16</x:v>
      </x:c>
      <x:c r="O17" s="20" t="n">
        <x:v>0</x:v>
      </x:c>
      <x:c r="P17" s="20" t="n">
        <x:v>1</x:v>
      </x:c>
      <x:c r="Q17" s="26" t="n">
        <x:v>0</x:v>
      </x:c>
    </x:row>
    <x:row r="18" ht="30" customHeight="1">
      <x:c r="A18" s="25" t="str">
        <x:v>M16</x:v>
      </x:c>
      <x:c r="B18" s="14" t="str">
        <x:v>DataOps, CI/CD, Security &amp; Observability</x:v>
      </x:c>
      <x:c r="C18" s="20" t="n">
        <x:v>14</x:v>
      </x:c>
      <x:c r="D18" s="20" t="n">
        <x:v>8</x:v>
      </x:c>
      <x:c r="E18" s="20" t="n">
        <x:v>10</x:v>
      </x:c>
      <x:c r="F18" s="20" t="n">
        <x:v>10</x:v>
      </x:c>
      <x:c r="G18" s="20" t="n">
        <x:v>4</x:v>
      </x:c>
      <x:c r="H18" s="20" t="n">
        <x:v>1</x:v>
      </x:c>
      <x:c r="I18" s="20" t="n">
        <x:v>1</x:v>
      </x:c>
      <x:c r="J18" s="14" t="str">
        <x:v>Production RC recovered</x:v>
      </x:c>
      <x:c r="K18" s="14" t="str">
        <x:v>M16_DATAOPS_SECURITY_RC2.zip</x:v>
      </x:c>
      <x:c r="L18" s="14" t="str">
        <x:v>9c3f45998add551953625a4fd6a14051e46c78cbbc4f745c3719c5c7ba74e2d0</x:v>
      </x:c>
      <x:c r="M18" s="20" t="n">
        <x:v>84</x:v>
      </x:c>
      <x:c r="N18" s="20" t="n">
        <x:v>16</x:v>
      </x:c>
      <x:c r="O18" s="20" t="n">
        <x:v>0</x:v>
      </x:c>
      <x:c r="P18" s="20" t="n">
        <x:v>1</x:v>
      </x:c>
      <x:c r="Q18" s="26" t="n">
        <x:v>0</x:v>
      </x:c>
    </x:row>
    <x:row r="19" ht="30" customHeight="1">
      <x:c r="A19" s="25" t="str">
        <x:v>M17</x:v>
      </x:c>
      <x:c r="B19" s="14" t="str">
        <x:v>Architecture + Promotion Foundations</x:v>
      </x:c>
      <x:c r="C19" s="20" t="n">
        <x:v>10</x:v>
      </x:c>
      <x:c r="D19" s="20" t="n">
        <x:v>6</x:v>
      </x:c>
      <x:c r="E19" s="20" t="n">
        <x:v>6</x:v>
      </x:c>
      <x:c r="F19" s="20" t="n">
        <x:v>6</x:v>
      </x:c>
      <x:c r="G19" s="20" t="n">
        <x:v>4</x:v>
      </x:c>
      <x:c r="H19" s="20" t="n">
        <x:v>1</x:v>
      </x:c>
      <x:c r="I19" s="20" t="n">
        <x:v>1</x:v>
      </x:c>
      <x:c r="J19" s="14" t="str">
        <x:v>Production RC recovered</x:v>
      </x:c>
      <x:c r="K19" s="14" t="str">
        <x:v>M17_ARCHITECTURE_RC2.zip</x:v>
      </x:c>
      <x:c r="L19" s="14" t="str">
        <x:v>195a134558242239f3db4d99031bc91d2d94aa2f052914b28b498f6e9a4be4ad</x:v>
      </x:c>
      <x:c r="M19" s="20" t="n">
        <x:v>54</x:v>
      </x:c>
      <x:c r="N19" s="20" t="n">
        <x:v>16</x:v>
      </x:c>
      <x:c r="O19" s="20" t="n">
        <x:v>0</x:v>
      </x:c>
      <x:c r="P19" s="20" t="n">
        <x:v>1</x:v>
      </x:c>
      <x:c r="Q19" s="26" t="n">
        <x:v>0</x:v>
      </x:c>
    </x:row>
    <x:row r="20" ht="30" customHeight="1">
      <x:c r="A20" s="25" t="str">
        <x:v>M18</x:v>
      </x:c>
      <x:c r="B20" s="14" t="str">
        <x:v>Portfolio Projects + Production Capstone</x:v>
      </x:c>
      <x:c r="C20" s="20" t="n">
        <x:v>50</x:v>
      </x:c>
      <x:c r="D20" s="20"/>
      <x:c r="E20" s="20"/>
      <x:c r="F20" s="20"/>
      <x:c r="G20" s="20"/>
      <x:c r="H20" s="20"/>
      <x:c r="I20" s="20"/>
      <x:c r="J20" s="14" t="str">
        <x:v>Production RC recovered</x:v>
      </x:c>
      <x:c r="K20" s="14" t="str">
        <x:v>M18_PORTFOLIO_PROJECTS_CAPSTONE_RC2.zip</x:v>
      </x:c>
      <x:c r="L20" s="14" t="str">
        <x:v>c16248c0049bd274d15140983bd9970f10864c1f8db3f7402c21abaf010d7fc8</x:v>
      </x:c>
      <x:c r="M20" s="20" t="n">
        <x:v>92</x:v>
      </x:c>
      <x:c r="N20" s="20" t="n">
        <x:v>17</x:v>
      </x:c>
      <x:c r="O20" s="20" t="n">
        <x:v>0</x:v>
      </x:c>
      <x:c r="P20" s="20" t="n">
        <x:v>1</x:v>
      </x:c>
      <x:c r="Q20" s="26" t="n">
        <x:v>0</x:v>
      </x:c>
    </x:row>
    <x:row r="21" ht="30" customHeight="1">
      <x:c r="A21" s="27" t="str">
        <x:v>M19</x:v>
      </x:c>
      <x:c r="B21" s="28" t="str">
        <x:v>Interview, Technical English &amp; Job Launch</x:v>
      </x:c>
      <x:c r="C21" s="29" t="n">
        <x:v>14</x:v>
      </x:c>
      <x:c r="D21" s="29" t="n">
        <x:v>7</x:v>
      </x:c>
      <x:c r="E21" s="29" t="n">
        <x:v>8</x:v>
      </x:c>
      <x:c r="F21" s="29" t="n">
        <x:v>10</x:v>
      </x:c>
      <x:c r="G21" s="29" t="n">
        <x:v>4</x:v>
      </x:c>
      <x:c r="H21" s="29" t="n">
        <x:v>2</x:v>
      </x:c>
      <x:c r="I21" s="29" t="n">
        <x:v>2</x:v>
      </x:c>
      <x:c r="J21" s="28" t="str">
        <x:v>Production RC recovered - rebuilt RC1</x:v>
      </x:c>
      <x:c r="K21" s="28" t="str">
        <x:v>M19_INTERVIEW_TECHNICAL_ENGLISH_JOB_LAUNCH_RC1.zip</x:v>
      </x:c>
      <x:c r="L21" s="28" t="str">
        <x:v>913a4549fc884db0b4d38ee085176514453d17b5c797a35efc9fc517e010eba9</x:v>
      </x:c>
      <x:c r="M21" s="29" t="n">
        <x:v>45</x:v>
      </x:c>
      <x:c r="N21" s="29" t="n">
        <x:v>18</x:v>
      </x:c>
      <x:c r="O21" s="29" t="n">
        <x:v>0</x:v>
      </x:c>
      <x:c r="P21" s="29" t="n">
        <x:v>1</x:v>
      </x:c>
      <x:c r="Q21" s="30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9" hidden="0" customWidth="1"/>
    <x:col min="3" max="3" width="10" hidden="0" customWidth="1"/>
    <x:col min="4" max="4" width="13" hidden="0" customWidth="1"/>
    <x:col min="5" max="5" width="13" hidden="0" customWidth="1"/>
    <x:col min="6" max="6" width="32" hidden="0" customWidth="1"/>
    <x:col min="7" max="7" width="40" hidden="0" customWidth="1"/>
    <x:col min="8" max="8" width="25" hidden="0" customWidth="1"/>
    <x:col min="9" max="9" width="9" hidden="0" customWidth="1"/>
    <x:col min="10" max="10" width="7" hidden="0" customWidth="1"/>
    <x:col min="11" max="11" width="10" hidden="0" customWidth="1"/>
    <x:col min="12" max="12" width="9" hidden="0" customWidth="1"/>
  </x:cols>
  <x:sheetData>
    <x:row r="1">
      <x:c r="A1" s="22" t="str">
        <x:v>Gate</x:v>
      </x:c>
      <x:c r="B1" s="23" t="str">
        <x:v>Scope</x:v>
      </x:c>
      <x:c r="C1" s="23" t="str">
        <x:v>Gate A</x:v>
      </x:c>
      <x:c r="D1" s="23" t="str">
        <x:v>Fresh Gate B</x:v>
      </x:c>
      <x:c r="E1" s="23" t="str">
        <x:v>Required package count</x:v>
      </x:c>
      <x:c r="F1" s="23" t="str">
        <x:v>Recovery status</x:v>
      </x:c>
      <x:c r="G1" s="23" t="str">
        <x:v>Artifact</x:v>
      </x:c>
      <x:c r="H1" s="23" t="str">
        <x:v>SHA-256</x:v>
      </x:c>
      <x:c r="I1" s="23" t="str">
        <x:v>ZIP files</x:v>
      </x:c>
      <x:c r="J1" s="23" t="str">
        <x:v>PDFs</x:v>
      </x:c>
      <x:c r="K1" s="23" t="str">
        <x:v>Recovered flag</x:v>
      </x:c>
      <x:c r="L1" s="24" t="str">
        <x:v>Missing flag</x:v>
      </x:c>
    </x:row>
    <x:row r="2" ht="31" customHeight="1">
      <x:c r="A2" s="25" t="str">
        <x:v>G01</x:v>
      </x:c>
      <x:c r="B2" s="14" t="str">
        <x:v>Data + Excel</x:v>
      </x:c>
      <x:c r="C2" s="20" t="str">
        <x:v>Required</x:v>
      </x:c>
      <x:c r="D2" s="20" t="str">
        <x:v>Required</x:v>
      </x:c>
      <x:c r="E2" s="20" t="n">
        <x:v>2</x:v>
      </x:c>
      <x:c r="F2" s="14" t="str">
        <x:v>Production gate RC recovered - rebuilt RC1</x:v>
      </x:c>
      <x:c r="G2" s="14" t="str">
        <x:v>G01_DATA_EXCEL_RC1.zip</x:v>
      </x:c>
      <x:c r="H2" s="14" t="str">
        <x:v>0f50f93f089c75460b7fc4659558223167a9726815ce7201d177de86db6175c2</x:v>
      </x:c>
      <x:c r="I2" s="20" t="n">
        <x:v>10</x:v>
      </x:c>
      <x:c r="J2" s="20" t="n">
        <x:v>5</x:v>
      </x:c>
      <x:c r="K2" s="20" t="n">
        <x:v>1</x:v>
      </x:c>
      <x:c r="L2" s="26" t="n">
        <x:v>0</x:v>
      </x:c>
    </x:row>
    <x:row r="3" ht="31" customHeight="1">
      <x:c r="A3" s="25" t="str">
        <x:v>G02</x:v>
      </x:c>
      <x:c r="B3" s="14" t="str">
        <x:v>SQL + PostgreSQL</x:v>
      </x:c>
      <x:c r="C3" s="20" t="str">
        <x:v>Required</x:v>
      </x:c>
      <x:c r="D3" s="20" t="str">
        <x:v>Required</x:v>
      </x:c>
      <x:c r="E3" s="20" t="n">
        <x:v>2</x:v>
      </x:c>
      <x:c r="F3" s="14" t="str">
        <x:v>Production gate RC recovered - rebuilt RC1</x:v>
      </x:c>
      <x:c r="G3" s="14" t="str">
        <x:v>G02_SQL_POSTGRESQL_RC1.zip</x:v>
      </x:c>
      <x:c r="H3" s="14" t="str">
        <x:v>a705c0f0733cca525138ea7da51d2dc23e409dc750ca06a9472251d43939844d</x:v>
      </x:c>
      <x:c r="I3" s="20" t="n">
        <x:v>10</x:v>
      </x:c>
      <x:c r="J3" s="20" t="n">
        <x:v>5</x:v>
      </x:c>
      <x:c r="K3" s="20" t="n">
        <x:v>1</x:v>
      </x:c>
      <x:c r="L3" s="26" t="n">
        <x:v>0</x:v>
      </x:c>
    </x:row>
    <x:row r="4" ht="31" customHeight="1">
      <x:c r="A4" s="25" t="str">
        <x:v>G03</x:v>
      </x:c>
      <x:c r="B4" s="14" t="str">
        <x:v>Python + Linux + Git</x:v>
      </x:c>
      <x:c r="C4" s="20" t="str">
        <x:v>Required</x:v>
      </x:c>
      <x:c r="D4" s="20" t="str">
        <x:v>Required</x:v>
      </x:c>
      <x:c r="E4" s="20" t="n">
        <x:v>2</x:v>
      </x:c>
      <x:c r="F4" s="14" t="str">
        <x:v>Production gate RC recovered - rebuilt RC1</x:v>
      </x:c>
      <x:c r="G4" s="14" t="str">
        <x:v>G03_PYTHON_LINUX_GIT_RC1.zip</x:v>
      </x:c>
      <x:c r="H4" s="14" t="str">
        <x:v>c27a808d2d9335ce0342be4d65fdac5e3bb14d30af7ea9a4b1ff68efa32c252a</x:v>
      </x:c>
      <x:c r="I4" s="20" t="n">
        <x:v>12</x:v>
      </x:c>
      <x:c r="J4" s="20" t="n">
        <x:v>5</x:v>
      </x:c>
      <x:c r="K4" s="20" t="n">
        <x:v>1</x:v>
      </x:c>
      <x:c r="L4" s="26" t="n">
        <x:v>0</x:v>
      </x:c>
    </x:row>
    <x:row r="5" ht="31" customHeight="1">
      <x:c r="A5" s="25" t="str">
        <x:v>G04</x:v>
      </x:c>
      <x:c r="B5" s="14" t="str">
        <x:v>Pipeline Engineering</x:v>
      </x:c>
      <x:c r="C5" s="20" t="str">
        <x:v>Required</x:v>
      </x:c>
      <x:c r="D5" s="20" t="str">
        <x:v>Required</x:v>
      </x:c>
      <x:c r="E5" s="20" t="n">
        <x:v>2</x:v>
      </x:c>
      <x:c r="F5" s="14" t="str">
        <x:v>Production gate RC recovered - rebuilt RC1</x:v>
      </x:c>
      <x:c r="G5" s="14" t="str">
        <x:v>G04_PIPELINE_ENGINEERING_RC1.zip</x:v>
      </x:c>
      <x:c r="H5" s="14" t="str">
        <x:v>6565f53efa526c190694fac0a116722f9604e4ce4ed89c2d314a0c8b401f8118</x:v>
      </x:c>
      <x:c r="I5" s="20" t="n">
        <x:v>14</x:v>
      </x:c>
      <x:c r="J5" s="20" t="n">
        <x:v>5</x:v>
      </x:c>
      <x:c r="K5" s="20" t="n">
        <x:v>1</x:v>
      </x:c>
      <x:c r="L5" s="26" t="n">
        <x:v>0</x:v>
      </x:c>
    </x:row>
    <x:row r="6" ht="31" customHeight="1">
      <x:c r="A6" s="25" t="str">
        <x:v>G05</x:v>
      </x:c>
      <x:c r="B6" s="14" t="str">
        <x:v>Distributed/Lakehouse/Streaming</x:v>
      </x:c>
      <x:c r="C6" s="20" t="str">
        <x:v>Required</x:v>
      </x:c>
      <x:c r="D6" s="20" t="str">
        <x:v>Required</x:v>
      </x:c>
      <x:c r="E6" s="20" t="n">
        <x:v>2</x:v>
      </x:c>
      <x:c r="F6" s="14" t="str">
        <x:v>Production gate RC recovered</x:v>
      </x:c>
      <x:c r="G6" s="14" t="str">
        <x:v>GATE_05_DISTRIBUTED_LAKEHOUSE_STREAMING_RC1.zip</x:v>
      </x:c>
      <x:c r="H6" s="14" t="str">
        <x:v>71b1e572d117c1c6cf19ca00700a7ac612ea361b4b4f03366bd61505844bb488</x:v>
      </x:c>
      <x:c r="I6" s="20" t="n">
        <x:v>28</x:v>
      </x:c>
      <x:c r="J6" s="20" t="n">
        <x:v>5</x:v>
      </x:c>
      <x:c r="K6" s="20" t="n">
        <x:v>1</x:v>
      </x:c>
      <x:c r="L6" s="26" t="n">
        <x:v>0</x:v>
      </x:c>
    </x:row>
    <x:row r="7" ht="31" customHeight="1">
      <x:c r="A7" s="25" t="str">
        <x:v>G06</x:v>
      </x:c>
      <x:c r="B7" s="14" t="str">
        <x:v>Cloud + Production Engineering</x:v>
      </x:c>
      <x:c r="C7" s="20" t="str">
        <x:v>Required</x:v>
      </x:c>
      <x:c r="D7" s="20" t="str">
        <x:v>Required</x:v>
      </x:c>
      <x:c r="E7" s="20" t="n">
        <x:v>2</x:v>
      </x:c>
      <x:c r="F7" s="14" t="str">
        <x:v>Production gate RC recovered</x:v>
      </x:c>
      <x:c r="G7" s="14" t="str">
        <x:v>GATE_06_CLOUD_PRODUCTION_RC1.zip</x:v>
      </x:c>
      <x:c r="H7" s="14" t="str">
        <x:v>2b253fbe04e84073428addca9a4d4d992cbb2b49b7364bd0a1775398158998c5</x:v>
      </x:c>
      <x:c r="I7" s="20" t="n">
        <x:v>38</x:v>
      </x:c>
      <x:c r="J7" s="20" t="n">
        <x:v>5</x:v>
      </x:c>
      <x:c r="K7" s="20" t="n">
        <x:v>1</x:v>
      </x:c>
      <x:c r="L7" s="26" t="n">
        <x:v>0</x:v>
      </x:c>
    </x:row>
    <x:row r="8" ht="31" customHeight="1">
      <x:c r="A8" s="27" t="str">
        <x:v>G07</x:v>
      </x:c>
      <x:c r="B8" s="28" t="str">
        <x:v>Final Job-Ready Simulation</x:v>
      </x:c>
      <x:c r="C8" s="29" t="str">
        <x:v>Required</x:v>
      </x:c>
      <x:c r="D8" s="29" t="str">
        <x:v>Required</x:v>
      </x:c>
      <x:c r="E8" s="29" t="n">
        <x:v>2</x:v>
      </x:c>
      <x:c r="F8" s="28" t="str">
        <x:v>Production gate RC recovered</x:v>
      </x:c>
      <x:c r="G8" s="28" t="str">
        <x:v>GATE_07_FINAL_JOB_READY_RC1.zip</x:v>
      </x:c>
      <x:c r="H8" s="28" t="str">
        <x:v>33ea957e05f63d6baa2c770df96a3c610e8487e207f38c471a8eccf38be459a6</x:v>
      </x:c>
      <x:c r="I8" s="29" t="n">
        <x:v>56</x:v>
      </x:c>
      <x:c r="J8" s="29" t="n">
        <x:v>5</x:v>
      </x:c>
      <x:c r="K8" s="29" t="n">
        <x:v>1</x:v>
      </x:c>
      <x:c r="L8" s="30" t="n">
        <x:v>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30" hidden="0" customWidth="1"/>
    <x:col min="3" max="3" width="14" hidden="0" customWidth="1"/>
    <x:col min="4" max="4" width="15" hidden="0" customWidth="1"/>
    <x:col min="5" max="5" width="14" hidden="0" customWidth="1"/>
    <x:col min="6" max="6" width="44" hidden="0" customWidth="1"/>
    <x:col min="7" max="7" width="44" hidden="0" customWidth="1"/>
    <x:col min="8" max="8" width="26" hidden="0" customWidth="1"/>
    <x:col min="9" max="9" width="9" hidden="0" customWidth="1"/>
    <x:col min="10" max="10" width="7" hidden="0" customWidth="1"/>
  </x:cols>
  <x:sheetData>
    <x:row r="1">
      <x:c r="A1" s="22" t="str">
        <x:v>Item</x:v>
      </x:c>
      <x:c r="B1" s="23" t="str">
        <x:v>Title</x:v>
      </x:c>
      <x:c r="C1" s="23" t="str">
        <x:v>Controlled count</x:v>
      </x:c>
      <x:c r="D1" s="23" t="str">
        <x:v>Auxiliary count</x:v>
      </x:c>
      <x:c r="E1" s="23" t="str">
        <x:v>Major projects</x:v>
      </x:c>
      <x:c r="F1" s="23" t="str">
        <x:v>Status</x:v>
      </x:c>
      <x:c r="G1" s="23" t="str">
        <x:v>Artifact</x:v>
      </x:c>
      <x:c r="H1" s="23" t="str">
        <x:v>SHA-256</x:v>
      </x:c>
      <x:c r="I1" s="23" t="str">
        <x:v>ZIP files</x:v>
      </x:c>
      <x:c r="J1" s="24" t="str">
        <x:v>PDFs</x:v>
      </x:c>
    </x:row>
    <x:row r="2" ht="42" customHeight="1">
      <x:c r="A2" s="25" t="str">
        <x:v>PR</x:v>
      </x:c>
      <x:c r="B2" s="14" t="str">
        <x:v>Promotion Runway</x:v>
      </x:c>
      <x:c r="C2" s="14" t="n">
        <x:v>42</x:v>
      </x:c>
      <x:c r="D2" s="14" t="n">
        <x:v>18</x:v>
      </x:c>
      <x:c r="E2" s="14" t="n">
        <x:v>4</x:v>
      </x:c>
      <x:c r="F2" s="41" t="str">
        <x:v>Production RC2 recovered + QA PASS</x:v>
      </x:c>
      <x:c r="G2" s="14" t="str">
        <x:v>PROMOTION_RUNWAY_RC2.zip</x:v>
      </x:c>
      <x:c r="H2" s="14" t="str">
        <x:v>777e275232b211300dd12ba227ccc48fa7aa305bf1395ff5a05e5b38d374cacc</x:v>
      </x:c>
      <x:c r="I2" s="14" t="n">
        <x:v>132</x:v>
      </x:c>
      <x:c r="J2" s="48" t="n">
        <x:v>49</x:v>
      </x:c>
    </x:row>
    <x:row r="3" ht="42" customHeight="1">
      <x:c r="A3" s="27" t="str">
        <x:v>MENTOR</x:v>
      </x:c>
      <x:c r="B3" s="28" t="str">
        <x:v>DE Mentor Beginner-First RC2</x:v>
      </x:c>
      <x:c r="C3" s="28" t="n">
        <x:v>230</x:v>
      </x:c>
      <x:c r="D3" s="28" t="n">
        <x:v>6</x:v>
      </x:c>
      <x:c r="E3" s="28" t="str"/>
      <x:c r="F3" s="49" t="str">
        <x:v>Recovered but parity FAIL vs production blueprint (230 lessons/6 gates vs 264/7)</x:v>
      </x:c>
      <x:c r="G3" s="28" t="str">
        <x:v>DE_MENTOR_ZERO_TO_JOB_READY_2026_v1.0_BEGINNER_FIRST_RC2.zip</x:v>
      </x:c>
      <x:c r="H3" s="28" t="str">
        <x:v>ce2c51a27e682a4501d30164b136102a711ae5828ffe19781edd1fd0cef34bbd</x:v>
      </x:c>
      <x:c r="I3" s="28" t="n">
        <x:v>56</x:v>
      </x:c>
      <x:c r="J3" s="50" t="n">
        <x:v>40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0" hidden="0" customWidth="1"/>
    <x:col min="3" max="3" width="52" hidden="0" customWidth="1"/>
    <x:col min="4" max="4" width="13" hidden="0" customWidth="1"/>
    <x:col min="5" max="5" width="52" hidden="0" customWidth="1"/>
    <x:col min="6" max="6" width="21" hidden="0" customWidth="1"/>
  </x:cols>
  <x:sheetData>
    <x:row r="1">
      <x:c r="A1" s="55" t="str">
        <x:v>OPEN RELEASE BLOCKERS AFTER PRODUCTION ARTIFACT RECOVERY - RC4</x:v>
      </x:c>
      <x:c r="B1" s="55"/>
      <x:c r="C1" s="55"/>
      <x:c r="D1" s="55"/>
      <x:c r="E1" s="55"/>
      <x:c r="F1" s="55"/>
    </x:row>
    <x:row r="3">
      <x:c r="A3" s="22" t="str">
        <x:v>Priority</x:v>
      </x:c>
      <x:c r="B3" s="23" t="str">
        <x:v>Area</x:v>
      </x:c>
      <x:c r="C3" s="23" t="str">
        <x:v>Blocker / required proof</x:v>
      </x:c>
      <x:c r="D3" s="23" t="str">
        <x:v>Current state</x:v>
      </x:c>
      <x:c r="E3" s="23" t="str">
        <x:v>Pass condition</x:v>
      </x:c>
      <x:c r="F3" s="24" t="str">
        <x:v>Owner action</x:v>
      </x:c>
    </x:row>
    <x:row r="4" ht="48" customHeight="1">
      <x:c r="A4" s="125" t="str">
        <x:v>DONE</x:v>
      </x:c>
      <x:c r="B4" s="14" t="str">
        <x:v>Artifact recovery</x:v>
      </x:c>
      <x:c r="C4" s="14" t="str">
        <x:v>All 20 production module RC slots are represented.</x:v>
      </x:c>
      <x:c r="D4" s="14" t="str">
        <x:v>PASS</x:v>
      </x:c>
      <x:c r="E4" s="14" t="str">
        <x:v>Keep exact current RC bytes in the final package; later changes must be versioned/re-audited.</x:v>
      </x:c>
      <x:c r="F4" s="48" t="str">
        <x:v>Release control</x:v>
      </x:c>
    </x:row>
    <x:row r="5" ht="48" customHeight="1">
      <x:c r="A5" s="125" t="str">
        <x:v>DONE</x:v>
      </x:c>
      <x:c r="B5" s="14" t="str">
        <x:v>Protected Gates</x:v>
      </x:c>
      <x:c r="C5" s="14" t="str">
        <x:v>All 7 protected Gate RCs are represented.</x:v>
      </x:c>
      <x:c r="D5" s="14" t="str">
        <x:v>PASS</x:v>
      </x:c>
      <x:c r="E5" s="14" t="str">
        <x:v>Keep Gate A / different fresh Gate B / review separation intact.</x:v>
      </x:c>
      <x:c r="F5" s="48" t="str">
        <x:v>Assessment control</x:v>
      </x:c>
    </x:row>
    <x:row r="6" ht="48" customHeight="1">
      <x:c r="A6" s="125" t="str">
        <x:v>CRITICAL</x:v>
      </x:c>
      <x:c r="B6" s="14" t="str">
        <x:v>Mentor parity</x:v>
      </x:c>
      <x:c r="C6" s="14" t="str">
        <x:v>Recovered Mentor candidate = 230 lessons / 6 gates; production blueprint = 264 lessons / 7 gates.</x:v>
      </x:c>
      <x:c r="D6" s="14" t="str">
        <x:v>FAIL</x:v>
      </x:c>
      <x:c r="E6" s="14" t="str">
        <x:v>Rebuild Mentor curriculum/navigation; exact lesson/gate/device/lock/progress/path parity passes.</x:v>
      </x:c>
      <x:c r="F6" s="48" t="str">
        <x:v>Mentor build</x:v>
      </x:c>
    </x:row>
    <x:row r="7" ht="48" customHeight="1">
      <x:c r="A7" s="125" t="str">
        <x:v>HIGH</x:v>
      </x:c>
      <x:c r="B7" s="14" t="str">
        <x:v>M07 runtime</x:v>
      </x:c>
      <x:c r="C7" s="14" t="str">
        <x:v>Live PostgreSQL execution proof remains required for target database behavior.</x:v>
      </x:c>
      <x:c r="D7" s="14" t="str">
        <x:v>Pending</x:v>
      </x:c>
      <x:c r="E7" s="14" t="str">
        <x:v>Run PostgreSQL build/constraints/transactions/SCD/validation evidence on learner PC.</x:v>
      </x:c>
      <x:c r="F7" s="48" t="str">
        <x:v>Runtime QA</x:v>
      </x:c>
    </x:row>
    <x:row r="8" ht="48" customHeight="1">
      <x:c r="A8" s="125" t="str">
        <x:v>HIGH</x:v>
      </x:c>
      <x:c r="B8" s="14" t="str">
        <x:v>M10 runtime</x:v>
      </x:c>
      <x:c r="C8" s="14" t="str">
        <x:v>Docker + Airflow live learner-PC behavior not proven in this integration environment.</x:v>
      </x:c>
      <x:c r="D8" s="14" t="str">
        <x:v>Pending</x:v>
      </x:c>
      <x:c r="E8" s="14" t="str">
        <x:v>Container/DAG run, retry/recovery/backfill/idempotency evidence passes.</x:v>
      </x:c>
      <x:c r="F8" s="48" t="str">
        <x:v>Runtime QA</x:v>
      </x:c>
    </x:row>
    <x:row r="9" ht="48" customHeight="1">
      <x:c r="A9" s="125" t="str">
        <x:v>HIGH</x:v>
      </x:c>
      <x:c r="B9" s="14" t="str">
        <x:v>M11 runtime</x:v>
      </x:c>
      <x:c r="C9" s="14" t="str">
        <x:v>PyArrow/delta-rs unavailable here; Parquet/Delta writes, MERGE, schema evolution and time travel remain unexecuted.</x:v>
      </x:c>
      <x:c r="D9" s="14" t="str">
        <x:v>Pending</x:v>
      </x:c>
      <x:c r="E9" s="14" t="str">
        <x:v>Run pinned storage environment and pass guided/practical/fresh runtime evidence.</x:v>
      </x:c>
      <x:c r="F9" s="48" t="str">
        <x:v>Runtime QA</x:v>
      </x:c>
    </x:row>
    <x:row r="10" ht="48" customHeight="1">
      <x:c r="A10" s="125" t="str">
        <x:v>HIGH</x:v>
      </x:c>
      <x:c r="B10" s="14" t="str">
        <x:v>M12 runtime</x:v>
      </x:c>
      <x:c r="C10" s="14" t="str">
        <x:v>PySpark unavailable here; Spark jobs, plan/UI, shuffle/join and distributed pipeline execution remain unexecuted.</x:v>
      </x:c>
      <x:c r="D10" s="14" t="str">
        <x:v>Pending</x:v>
      </x:c>
      <x:c r="E10" s="14" t="str">
        <x:v>Run pinned Spark environment and pass practical + fresh retest with plan/reconciliation evidence.</x:v>
      </x:c>
      <x:c r="F10" s="48" t="str">
        <x:v>Runtime QA</x:v>
      </x:c>
    </x:row>
    <x:row r="11" ht="48" customHeight="1">
      <x:c r="A11" s="125" t="str">
        <x:v>HIGH</x:v>
      </x:c>
      <x:c r="B11" s="14" t="str">
        <x:v>M13-M16 runtime</x:v>
      </x:c>
      <x:c r="C11" s="14" t="str">
        <x:v>Delta/Kafka/Fabric/GitHub Actions or IaC real-runtime proofs remain as documented by their module QA.</x:v>
      </x:c>
      <x:c r="D11" s="14" t="str">
        <x:v>Pending</x:v>
      </x:c>
      <x:c r="E11" s="14" t="str">
        <x:v>Complete each documented live-service/runtime proof without inventing evidence.</x:v>
      </x:c>
      <x:c r="F11" s="48" t="str">
        <x:v>Runtime QA</x:v>
      </x:c>
    </x:row>
    <x:row r="12" ht="48" customHeight="1">
      <x:c r="A12" s="125" t="str">
        <x:v>HIGH</x:v>
      </x:c>
      <x:c r="B12" s="14" t="str">
        <x:v>M18 runtime</x:v>
      </x:c>
      <x:c r="C12" s="14" t="str">
        <x:v>Cross-stack capstone evidence remains conditional until required real PostgreSQL/dbt/Docker/Airflow/Spark/Delta/Fabric paths are proven.</x:v>
      </x:c>
      <x:c r="D12" s="14" t="str">
        <x:v>Pending</x:v>
      </x:c>
      <x:c r="E12" s="14" t="str">
        <x:v>Runtime evidence + architecture/recovery defense reviewed.</x:v>
      </x:c>
      <x:c r="F12" s="48" t="str">
        <x:v>Capstone QA</x:v>
      </x:c>
    </x:row>
    <x:row r="13" ht="48" customHeight="1">
      <x:c r="A13" s="125" t="str">
        <x:v>HIGH</x:v>
      </x:c>
      <x:c r="B13" s="14" t="str">
        <x:v>PC smoke</x:v>
      </x:c>
      <x:c r="C13" s="14" t="str">
        <x:v>Fresh learner-PC installation/path/runtime smoke not complete.</x:v>
      </x:c>
      <x:c r="D13" s="14" t="str">
        <x:v>Pending</x:v>
      </x:c>
      <x:c r="E13" s="14" t="str">
        <x:v>Fresh learner-PC smoke matrix passes required modules and Gates.</x:v>
      </x:c>
      <x:c r="F13" s="48" t="str">
        <x:v>Release QA</x:v>
      </x:c>
    </x:row>
    <x:row r="14" ht="48" customHeight="1">
      <x:c r="A14" s="125" t="str">
        <x:v>HIGH</x:v>
      </x:c>
      <x:c r="B14" s="14" t="str">
        <x:v>Phone Mentor smoke</x:v>
      </x:c>
      <x:c r="C14" s="14" t="str">
        <x:v>Real Android background/timer/notification/navigation/persistence behavior remains unresolved.</x:v>
      </x:c>
      <x:c r="D14" s="14" t="str">
        <x:v>Pending</x:v>
      </x:c>
      <x:c r="E14" s="14" t="str">
        <x:v>Phone smoke proves navigation, timer behavior, persistence, export and device routing.</x:v>
      </x:c>
      <x:c r="F14" s="48" t="str">
        <x:v>Mentor QA</x:v>
      </x:c>
    </x:row>
    <x:row r="15" ht="48" customHeight="1">
      <x:c r="A15" s="126" t="str">
        <x:v>HIGH</x:v>
      </x:c>
      <x:c r="B15" s="28" t="str">
        <x:v>Final master parity</x:v>
      </x:c>
      <x:c r="C15" s="28" t="str">
        <x:v>Final index / duplicate / coverage / path / hash parity must run after Mentor rebuild and final package assembly.</x:v>
      </x:c>
      <x:c r="D15" s="28" t="str">
        <x:v>Pending</x:v>
      </x:c>
      <x:c r="E15" s="28" t="str">
        <x:v>Final assembled bytes exactly match RC4+ successor controls with no unexplained duplicates/gaps.</x:v>
      </x:c>
      <x:c r="F15" s="50" t="str">
        <x:v>Release QA</x:v>
      </x:c>
    </x:row>
  </x:sheetData>
  <x:mergeCells>
    <x:mergeCell ref="A1:F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25" hidden="0" customWidth="1"/>
    <x:col min="3" max="3" width="55" hidden="0" customWidth="1"/>
    <x:col min="4" max="4" width="15" hidden="0" customWidth="1"/>
    <x:col min="5" max="5" width="49" hidden="0" customWidth="1"/>
  </x:cols>
  <x:sheetData>
    <x:row r="1">
      <x:c r="A1" s="55" t="str">
        <x:v>MASTER INDEX RC4 - PROVENANCE AND RELEASE RULES</x:v>
      </x:c>
      <x:c r="B1" s="55"/>
      <x:c r="C1" s="55"/>
      <x:c r="D1" s="55"/>
      <x:c r="E1" s="55"/>
    </x:row>
    <x:row r="3">
      <x:c r="A3" s="22" t="str">
        <x:v>Source / checkpoint</x:v>
      </x:c>
      <x:c r="B3" s="23" t="str">
        <x:v>Role</x:v>
      </x:c>
      <x:c r="C3" s="23" t="str">
        <x:v>Key controlled fact</x:v>
      </x:c>
      <x:c r="D3" s="23" t="str">
        <x:v>Date</x:v>
      </x:c>
      <x:c r="E3" s="24" t="str">
        <x:v>Notes</x:v>
      </x:c>
    </x:row>
    <x:row r="4" ht="48" customHeight="1">
      <x:c r="A4" s="100" t="str">
        <x:v>DE_PRODUCTION_BLUEPRINT_AUDIT_v1.md</x:v>
      </x:c>
      <x:c r="B4" s="14" t="str">
        <x:v>Frozen production architecture</x:v>
      </x:c>
      <x:c r="C4" s="14" t="str">
        <x:v>264 formal lessons; 50 M18 phases; 7 protected Gates; course FINAL requires full parity/smoke/hash audits.</x:v>
      </x:c>
      <x:c r="D4" s="14" t="str">
        <x:v>26-27 Aug 2026</x:v>
      </x:c>
      <x:c r="E4" s="48" t="str">
        <x:v>Authoritative count baseline.</x:v>
      </x:c>
    </x:row>
    <x:row r="5" ht="48" customHeight="1">
      <x:c r="A5" s="100" t="str">
        <x:v>PROMOTION_RUNWAY_PRODUCTION_QA_RC2.md</x:v>
      </x:c>
      <x:c r="B5" s="14" t="str">
        <x:v>Promotion RC2 QA</x:v>
      </x:c>
      <x:c r="C5" s="14" t="str">
        <x:v>7 tracks; 42 lessons; 18 concrete labs; 4 projects; 79 support/evidence files; 49 rendered pages; QA PASS.</x:v>
      </x:c>
      <x:c r="D5" s="14" t="str">
        <x:v>27 Aug 2026</x:v>
      </x:c>
      <x:c r="E5" s="48" t="str">
        <x:v>Integrated; not sufficient for course FINAL.</x:v>
      </x:c>
    </x:row>
    <x:row r="6" ht="48" customHeight="1">
      <x:c r="A6" s="100" t="str">
        <x:v>Wave 5 rebuilt production RCs</x:v>
      </x:c>
      <x:c r="B6" s="14" t="str">
        <x:v>Artifact recovery completion</x:v>
      </x:c>
      <x:c r="C6" s="14" t="str">
        <x:v>M11 Storage &amp; File Formats, M12 Spark/PySpark, and M19 Interview/English/Job Launch rebuilt to frozen production counts; 50 PDFs / 91 rendered pages QA-passed.</x:v>
      </x:c>
      <x:c r="D6" s="14" t="str">
        <x:v>27 Aug 2026</x:v>
      </x:c>
      <x:c r="E6" s="48" t="str">
        <x:v>Completes 20/20 production module representation.</x:v>
      </x:c>
    </x:row>
    <x:row r="7" ht="48" customHeight="1">
      <x:c r="A7" s="100" t="str">
        <x:v>Protected Gate inventory</x:v>
      </x:c>
      <x:c r="B7" s="14" t="str">
        <x:v>Assessment recovery completion</x:v>
      </x:c>
      <x:c r="C7" s="14" t="str">
        <x:v>G01-G07 production Gate RCs represented; all seven Gate slots recovered.</x:v>
      </x:c>
      <x:c r="D7" s="14" t="str">
        <x:v>27 Aug 2026</x:v>
      </x:c>
      <x:c r="E7" s="48" t="str">
        <x:v>Gate A + fresh Gate B separation remains protected.</x:v>
      </x:c>
    </x:row>
    <x:row r="8" ht="48" customHeight="1">
      <x:c r="A8" s="100" t="str">
        <x:v>DE Mentor Beginner-First RC2</x:v>
      </x:c>
      <x:c r="B8" s="14" t="str">
        <x:v>Mentor candidate</x:v>
      </x:c>
      <x:c r="C8" s="14" t="str">
        <x:v>230 lessons / 6 gates.</x:v>
      </x:c>
      <x:c r="D8" s="14" t="str">
        <x:v>26 Aug 2026</x:v>
      </x:c>
      <x:c r="E8" s="48" t="str">
        <x:v>Parity FAIL against frozen 264 / 7 baseline; rebuild required.</x:v>
      </x:c>
    </x:row>
    <x:row r="9">
      <x:c r="A9" s="101"/>
      <x:c r="B9" s="97"/>
      <x:c r="C9" s="97"/>
      <x:c r="D9" s="97"/>
      <x:c r="E9" s="102"/>
    </x:row>
    <x:row r="10">
      <x:c r="A10" s="103" t="str">
        <x:v>RELEASE LABEL RULE</x:v>
      </x:c>
      <x:c r="B10" s="66"/>
      <x:c r="C10" s="66"/>
      <x:c r="D10" s="66"/>
      <x:c r="E10" s="104"/>
    </x:row>
    <x:row r="11">
      <x:c r="A11" s="129" t="str">
        <x:v>MASTER INDEX RC4 closes production artifact recovery only. It is intentionally NOT FINAL. Course-wide FINAL still requires exact Mentor 264/7 parity, all documented real-runtime proofs, fresh learner-PC and Android smoke tests, and final master-index/coverage/path/duplicate/hash parity on the assembled release bytes.</x:v>
      </x:c>
      <x:c r="B11" s="77"/>
      <x:c r="C11" s="77"/>
      <x:c r="D11" s="77"/>
      <x:c r="E11" s="98"/>
    </x:row>
    <x:row r="12">
      <x:c r="A12" s="129"/>
      <x:c r="B12" s="77"/>
      <x:c r="C12" s="77"/>
      <x:c r="D12" s="77"/>
      <x:c r="E12" s="98"/>
    </x:row>
    <x:row r="13">
      <x:c r="A13" s="130"/>
      <x:c r="B13" s="131"/>
      <x:c r="C13" s="131"/>
      <x:c r="D13" s="131"/>
      <x:c r="E13" s="132"/>
    </x:row>
  </x:sheetData>
  <x:mergeCells>
    <x:mergeCell ref="A1:E1"/>
    <x:mergeCell ref="A10:E10"/>
    <x:mergeCell ref="A11:E13"/>
  </x:mergeCells>
  <x:pageMargins left="0.7" right="0.7" top="0.75" bottom="0.75" header="0.3" footer="0.3"/>
</x:worksheet>
</file>